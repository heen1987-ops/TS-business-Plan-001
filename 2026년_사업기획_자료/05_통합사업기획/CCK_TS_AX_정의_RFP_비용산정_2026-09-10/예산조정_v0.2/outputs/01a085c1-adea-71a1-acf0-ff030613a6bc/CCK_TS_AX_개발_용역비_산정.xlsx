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618b89062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산정요약" sheetId="1" r:id="R7d7e20d642344cf3"/>
    <x:sheet xmlns:r="http://schemas.openxmlformats.org/officeDocument/2006/relationships" name="가정과단가" sheetId="2" r:id="R1c942c5b36904feb"/>
    <x:sheet xmlns:r="http://schemas.openxmlformats.org/officeDocument/2006/relationships" name="공수산정" sheetId="3" r:id="Read7c5404a6442d9"/>
    <x:sheet xmlns:r="http://schemas.openxmlformats.org/officeDocument/2006/relationships" name="도입과직접경비" sheetId="4" r:id="Re8a4c33843ad4477"/>
    <x:sheet xmlns:r="http://schemas.openxmlformats.org/officeDocument/2006/relationships" name="연간운영" sheetId="5" r:id="Ra4ed82e01ce0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"/>
    <x:numFmt numFmtId="202" formatCode="#,##0;(#,##0);&quot;-&quot;"/>
    <x:numFmt numFmtId="203" formatCode="0.0;(0.0);&quot;-&quot;"/>
  </x:numFmts>
  <x:fonts count="11">
    <x:font>
      <x:sz val="11"/>
      <x:name val="Carlito"/>
    </x:font>
    <x:font>
      <x:sz val="11"/>
      <x:color rgb="FF172B39"/>
      <x:name val="Malgun Gothic"/>
    </x:font>
    <x:font>
      <x:b/>
      <x:sz val="19"/>
      <x:color rgb="FF172B39"/>
      <x:name val="Malgun Gothic"/>
    </x:font>
    <x:font>
      <x:b/>
      <x:sz val="11"/>
      <x:color rgb="FFFFFFFF"/>
      <x:name val="Malgun Gothic"/>
    </x:font>
    <x:font>
      <x:sz val="11"/>
      <x:color rgb="FF0000FF"/>
      <x:name val="Malgun Gothic"/>
    </x:font>
    <x:font>
      <x:b/>
      <x:sz val="11"/>
      <x:color rgb="FF172B39"/>
      <x:name val="Malgun Gothic"/>
    </x:font>
    <x:font>
      <x:sz val="9"/>
      <x:color rgb="FF008000"/>
      <x:name val="Malgun Gothic"/>
    </x:font>
    <x:font>
      <x:sz val="11"/>
      <x:color rgb="FF008000"/>
      <x:name val="Malgun Gothic"/>
    </x:font>
    <x:font>
      <x:sz val="11"/>
      <x:color rgb="FF000000"/>
      <x:name val="Malgun Gothic"/>
    </x:font>
    <x:font>
      <x:b/>
      <x:sz val="11"/>
      <x:color rgb="FF000000"/>
      <x:name val="Malgun Gothic"/>
    </x:font>
    <x:font>
      <x:b/>
      <x:sz val="11"/>
      <x:color rgb="FF008000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23E52"/>
      </x:patternFill>
    </x:fill>
    <x:fill>
      <x:patternFill patternType="solid">
        <x:fgColor rgb="FFF2F7FF"/>
      </x:patternFill>
    </x:fill>
    <x:fill>
      <x:patternFill patternType="solid">
        <x:fgColor rgb="FFFFFFFF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3" fontId="4" fillId="3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202" fontId="8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202" fontId="9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5" fillId="5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2" fontId="3" fillId="2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202" fontId="1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df7b3182a4774" /><Relationship Type="http://schemas.openxmlformats.org/officeDocument/2006/relationships/theme" Target="/xl/theme/theme1.xml" Id="R623aac8ad48544e5" /><Relationship Type="http://schemas.openxmlformats.org/officeDocument/2006/relationships/sharedStrings" Target="/xl/sharedStrings.xml" Id="R9d0fb035aecd4033" /><Relationship Type="http://schemas.openxmlformats.org/officeDocument/2006/relationships/worksheet" Target="/xl/worksheets/sheet1.xml" Id="R7d7e20d642344cf3" /><Relationship Type="http://schemas.openxmlformats.org/officeDocument/2006/relationships/worksheet" Target="/xl/worksheets/sheet2.xml" Id="R1c942c5b36904feb" /><Relationship Type="http://schemas.openxmlformats.org/officeDocument/2006/relationships/worksheet" Target="/xl/worksheets/sheet3.xml" Id="Read7c5404a6442d9" /><Relationship Type="http://schemas.openxmlformats.org/officeDocument/2006/relationships/worksheet" Target="/xl/worksheets/sheet4.xml" Id="Re8a4c33843ad4477" /><Relationship Type="http://schemas.openxmlformats.org/officeDocument/2006/relationships/worksheet" Target="/xl/worksheets/sheet5.xml" Id="Ra4ed82e01ce048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5" hidden="0" customWidth="1"/>
    <x:col min="5" max="5" width="18" hidden="0" customWidth="1"/>
    <x:col min="6" max="6" width="61" hidden="0" customWidth="1"/>
  </x:cols>
  <x:sheetData>
    <x:row r="1" ht="36" customHeight="1">
      <x:c r="A1" s="35" t="str">
        <x:v>CCK TS AX 개발과 용역비 산정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25" customHeight="1">
      <x:c r="A3" s="3" t="str">
        <x:v>2026년 가격 · v0.2 예산 조정안 · 목표 상한과 계산액을 구별 · 기존 GPU 제공·재사용 권리 조건</x:v>
      </x:c>
      <x:c r="B3" s="3"/>
      <x:c r="C3" s="3"/>
      <x:c r="D3" s="3"/>
      <x:c r="E3" s="3"/>
      <x:c r="F3" s="3"/>
    </x:row>
    <x:row r="4" ht="25" customHeight="1">
      <x:c r="A4" s="3"/>
      <x:c r="B4" s="3"/>
      <x:c r="C4" s="3"/>
      <x:c r="D4" s="3"/>
      <x:c r="E4" s="3"/>
      <x:c r="F4" s="3"/>
    </x:row>
    <x:row r="5" ht="32" customHeight="1">
      <x:c r="A5" s="6" t="str">
        <x:v>구분</x:v>
      </x:c>
      <x:c r="B5" s="6" t="str">
        <x:v>1단계 X02 X04</x:v>
      </x:c>
      <x:c r="C5" s="6" t="str">
        <x:v>2단계 탐색과 연계</x:v>
      </x:c>
      <x:c r="D5" s="6" t="str">
        <x:v>전체 구축</x:v>
      </x:c>
      <x:c r="E5" s="6" t="str">
        <x:v>단위</x:v>
      </x:c>
      <x:c r="F5" s="6" t="str">
        <x:v>계산과 해석</x:v>
      </x:c>
    </x:row>
    <x:row r="6" ht="33" customHeight="1">
      <x:c r="A6" s="3" t="str">
        <x:v>적용 공수</x:v>
      </x:c>
      <x:c r="B6" s="34" t="n">
        <x:f>'공수산정'!N19</x:f>
        <x:v>21.5</x:v>
      </x:c>
      <x:c r="C6" s="34" t="n">
        <x:f>'공수산정'!N20</x:f>
        <x:v>15.099999999999998</x:v>
      </x:c>
      <x:c r="D6" s="34" t="n">
        <x:f>IF(COUNT(B6:C6)=2,SUM(B6:C6),"입력 누락")</x:f>
        <x:v>36.599999999999994</x:v>
      </x:c>
      <x:c r="E6" s="3" t="str">
        <x:v>MM</x:v>
      </x:c>
      <x:c r="F6" s="3" t="str">
        <x:v>작업별 공수 합계</x:v>
      </x:c>
    </x:row>
    <x:row r="7" ht="33" customHeight="1">
      <x:c r="A7" s="3" t="str">
        <x:v>일정</x:v>
      </x:c>
      <x:c r="B7" s="34" t="n">
        <x:f>'가정과단가'!B10</x:f>
        <x:v>6</x:v>
      </x:c>
      <x:c r="C7" s="34" t="n">
        <x:f>'가정과단가'!B11</x:f>
        <x:v>6</x:v>
      </x:c>
      <x:c r="D7" s="34" t="n">
        <x:f>IF(COUNT(B7:C7)=2,SUM(B7:C7),"입력 누락")</x:f>
        <x:v>12</x:v>
      </x:c>
      <x:c r="E7" s="3" t="str">
        <x:v>개월</x:v>
      </x:c>
      <x:c r="F7" s="3" t="str">
        <x:v>순차 도입 가정</x:v>
      </x:c>
    </x:row>
    <x:row r="8" ht="33" customHeight="1">
      <x:c r="A8" s="3" t="str">
        <x:v>평균 배치인원</x:v>
      </x:c>
      <x:c r="B8" s="34" t="n">
        <x:f>IF(B7&gt;0,B6/B7,"기간 확인")</x:f>
        <x:v>3.5833333333333335</x:v>
      </x:c>
      <x:c r="C8" s="34" t="n">
        <x:f>IF(C7&gt;0,C6/C7,"기간 확인")</x:f>
        <x:v>2.516666666666666</x:v>
      </x:c>
      <x:c r="D8" s="34" t="n">
        <x:f>IF(D7&gt;0,D6/D7,"기간 확인")</x:f>
        <x:v>3.0499999999999994</x:v>
      </x:c>
      <x:c r="E8" s="3" t="str">
        <x:v>명</x:v>
      </x:c>
      <x:c r="F8" s="3" t="str">
        <x:v>MM/개월. 실제 배치표 아님</x:v>
      </x:c>
    </x:row>
    <x:row r="9" ht="33" customHeight="1">
      <x:c r="A9" s="3" t="str">
        <x:v>직접인건비</x:v>
      </x:c>
      <x:c r="B9" s="22" t="n">
        <x:f>'공수산정'!O19</x:f>
        <x:v>175542116</x:v>
      </x:c>
      <x:c r="C9" s="22" t="n">
        <x:f>'공수산정'!O20</x:f>
        <x:v>123199533</x:v>
      </x:c>
      <x:c r="D9" s="22" t="n">
        <x:f>IF(COUNT(B9:C9)=2,SUM(B9:C9),"입력 누락")</x:f>
        <x:v>298741649</x:v>
      </x:c>
      <x:c r="E9" s="3" t="str">
        <x:v>원</x:v>
      </x:c>
      <x:c r="F9" s="3" t="str">
        <x:v>직무별 MM × 2026 월 임금</x:v>
      </x:c>
    </x:row>
    <x:row r="10" ht="33" customHeight="1">
      <x:c r="A10" s="3" t="str">
        <x:v>제경비</x:v>
      </x:c>
      <x:c r="B10" s="22" t="n">
        <x:f>ROUND(B9*'가정과단가'!$B$5,0)</x:f>
        <x:v>252780647</x:v>
      </x:c>
      <x:c r="C10" s="22" t="n">
        <x:f>ROUND(C9*'가정과단가'!$B$5,0)</x:f>
        <x:v>177407328</x:v>
      </x:c>
      <x:c r="D10" s="22" t="n">
        <x:f>IF(COUNT(B10:C10)=2,SUM(B10:C10),"입력 누락")</x:f>
        <x:v>430187975</x:v>
      </x:c>
      <x:c r="E10" s="3" t="str">
        <x:v>원</x:v>
      </x:c>
      <x:c r="F10" s="3" t="str">
        <x:v>144% 가격화 가정</x:v>
      </x:c>
    </x:row>
    <x:row r="11" ht="33" customHeight="1">
      <x:c r="A11" s="3" t="str">
        <x:v>기술료</x:v>
      </x:c>
      <x:c r="B11" s="22" t="n">
        <x:f>ROUND(SUM(B9:B10)*'가정과단가'!$B$6,0)</x:f>
        <x:v>85664553</x:v>
      </x:c>
      <x:c r="C11" s="22" t="n">
        <x:f>ROUND(SUM(C9:C10)*'가정과단가'!$B$6,0)</x:f>
        <x:v>60121372</x:v>
      </x:c>
      <x:c r="D11" s="22" t="n">
        <x:f>IF(COUNT(B11:C11)=2,SUM(B11:C11),"입력 누락")</x:f>
        <x:v>145785925</x:v>
      </x:c>
      <x:c r="E11" s="3" t="str">
        <x:v>원</x:v>
      </x:c>
      <x:c r="F11" s="3" t="str">
        <x:v>직접인건비+제경비의 20% 가정</x:v>
      </x:c>
    </x:row>
    <x:row r="12" ht="30" customHeight="1">
      <x:c r="A12" s="26" t="str">
        <x:v>개발 용역비</x:v>
      </x:c>
      <x:c r="B12" s="28" t="n">
        <x:f>IF(COUNT(B9:B11)=3,SUM(B9:B11),"입력 누락")</x:f>
        <x:v>513987316</x:v>
      </x:c>
      <x:c r="C12" s="28" t="n">
        <x:f>IF(COUNT(C9:C11)=3,SUM(C9:C11),"입력 누락")</x:f>
        <x:v>360728233</x:v>
      </x:c>
      <x:c r="D12" s="28" t="n">
        <x:f>IF(COUNT(B12:C12)=2,SUM(B12:C12),"입력 누락")</x:f>
        <x:v>874715549</x:v>
      </x:c>
      <x:c r="E12" s="26" t="str">
        <x:v>원</x:v>
      </x:c>
      <x:c r="F12" s="26" t="str">
        <x:v>인건비+제경비+기술료</x:v>
      </x:c>
    </x:row>
    <x:row r="13" ht="33" customHeight="1">
      <x:c r="A13" s="3" t="str">
        <x:v>도입비와 직접경비</x:v>
      </x:c>
      <x:c r="B13" s="22" t="n">
        <x:f>'도입과직접경비'!G20</x:f>
        <x:v>100000000</x:v>
      </x:c>
      <x:c r="C13" s="22" t="n">
        <x:f>'도입과직접경비'!G21</x:f>
        <x:v>72000000</x:v>
      </x:c>
      <x:c r="D13" s="22" t="n">
        <x:f>IF(COUNT(B13:C13)=2,SUM(B13:C13),"입력 누락")</x:f>
        <x:v>172000000</x:v>
      </x:c>
      <x:c r="E13" s="3" t="str">
        <x:v>원</x:v>
      </x:c>
      <x:c r="F13" s="3" t="str">
        <x:v>HW·라이선스·연계사·검수 등 충당액</x:v>
      </x:c>
    </x:row>
    <x:row r="14" ht="30" customHeight="1">
      <x:c r="A14" s="26" t="str">
        <x:v>공급가액</x:v>
      </x:c>
      <x:c r="B14" s="28" t="n">
        <x:f>IF(COUNT(B12:B13)=2,SUM(B12:B13),"입력 누락")</x:f>
        <x:v>613987316</x:v>
      </x:c>
      <x:c r="C14" s="28" t="n">
        <x:f>IF(COUNT(C12:C13)=2,SUM(C12:C13),"입력 누락")</x:f>
        <x:v>432728233</x:v>
      </x:c>
      <x:c r="D14" s="28" t="n">
        <x:f>IF(COUNT(B14:C14)=2,SUM(B14:C14),"입력 누락")</x:f>
        <x:v>1046715549</x:v>
      </x:c>
      <x:c r="E14" s="26" t="str">
        <x:v>원</x:v>
      </x:c>
      <x:c r="F14" s="26" t="str">
        <x:v>용역비+도입·직접경비</x:v>
      </x:c>
    </x:row>
    <x:row r="15" ht="40" customHeight="1">
      <x:c r="A15" s="3" t="str">
        <x:v>VAT</x:v>
      </x:c>
      <x:c r="B15" s="22" t="n">
        <x:f>ROUND(B14*'가정과단가'!$B$7,0)</x:f>
        <x:v>61398732</x:v>
      </x:c>
      <x:c r="C15" s="22" t="n">
        <x:f>ROUND(C14*'가정과단가'!$B$7,0)</x:f>
        <x:v>43272823</x:v>
      </x:c>
      <x:c r="D15" s="22" t="n">
        <x:f>IF(COUNT(B15:C15)=2,SUM(B15:C15),"입력 누락")</x:f>
        <x:v>104671555</x:v>
      </x:c>
      <x:c r="E15" s="3" t="str">
        <x:v>원</x:v>
      </x:c>
      <x:c r="F15" s="3" t="str">
        <x:v>일반 과세 10% 가정</x:v>
      </x:c>
    </x:row>
    <x:row r="16" ht="30" customHeight="1">
      <x:c r="A16" s="26" t="str">
        <x:v>구축 총액</x:v>
      </x:c>
      <x:c r="B16" s="28" t="n">
        <x:f>IF(AND(COUNT('가정과단가'!B5:B11)=7,MIN('가정과단가'!B5:B9)&gt;=0,MIN('가정과단가'!B10:B11)&gt;0,COUNT('가정과단가'!C16:C25)=10,MIN('가정과단가'!C16:C25)&gt;0,COUNT('공수산정'!D6:M15)=100,MIN('공수산정'!D6:M15)&gt;=0,COUNT('도입과직접경비'!E6:F17)=24,MIN('도입과직접경비'!E6:F17)&gt;=0),B14+B15,"입력 확인")</x:f>
        <x:v>675386048</x:v>
      </x:c>
      <x:c r="C16" s="28" t="n">
        <x:f>IF(AND(COUNT('가정과단가'!B5:B11)=7,MIN('가정과단가'!B5:B9)&gt;=0,MIN('가정과단가'!B10:B11)&gt;0,COUNT('가정과단가'!C16:C25)=10,MIN('가정과단가'!C16:C25)&gt;0,COUNT('공수산정'!D6:M15)=100,MIN('공수산정'!D6:M15)&gt;=0,COUNT('도입과직접경비'!E6:F17)=24,MIN('도입과직접경비'!E6:F17)&gt;=0),C14+C15,"입력 확인")</x:f>
        <x:v>476001056</x:v>
      </x:c>
      <x:c r="D16" s="28" t="n">
        <x:f>IF(COUNT(B16:C16)=2,SUM(B16:C16),"입력 누락")</x:f>
        <x:v>1151387104</x:v>
      </x:c>
      <x:c r="E16" s="26" t="str">
        <x:v>원</x:v>
      </x:c>
      <x:c r="F16" s="26" t="str">
        <x:v>부가세 포함. 예산 여유 제외</x:v>
      </x:c>
    </x:row>
    <x:row r="17" ht="40" customHeight="1">
      <x:c r="A17" s="3" t="str">
        <x:v>목표 상한 VAT 포함</x:v>
      </x:c>
      <x:c r="B17" s="22" t="n">
        <x:f>IF(AND(COUNT('가정과단가'!B13)=1,'가정과단가'!B13&gt;0),'가정과단가'!B13,"상한 입력 확인")</x:f>
        <x:v>700000000</x:v>
      </x:c>
      <x:c r="C17" s="22" t="n">
        <x:f>IF(AND(COUNT('가정과단가'!B14)=1,'가정과단가'!B14&gt;0),'가정과단가'!B14,"상한 입력 확인")</x:f>
        <x:v>500000000</x:v>
      </x:c>
      <x:c r="D17" s="22" t="n">
        <x:f>IF(COUNT(B17:C17)=2,SUM(B17:C17),"입력 누락")</x:f>
        <x:v>1200000000</x:v>
      </x:c>
      <x:c r="E17" s="3" t="str">
        <x:v>원</x:v>
      </x:c>
      <x:c r="F17" s="3" t="str">
        <x:v>사용자 제안 7억·5억. 예산 승인 아님</x:v>
      </x:c>
    </x:row>
    <x:row r="18" ht="40" customHeight="1">
      <x:c r="A18" s="3" t="str">
        <x:v>상한과 산정액 차이</x:v>
      </x:c>
      <x:c r="B18" s="22" t="n">
        <x:f>IF(COUNT(B17,B16)=2,B17-B16,"입력 확인")</x:f>
        <x:v>24613952</x:v>
      </x:c>
      <x:c r="C18" s="22" t="n">
        <x:f>IF(COUNT(C17,C16)=2,C17-C16,"입력 확인")</x:f>
        <x:v>23998944</x:v>
      </x:c>
      <x:c r="D18" s="22" t="n">
        <x:f>IF(COUNT(B18:C18)=2,SUM(B18:C18),"입력 누락")</x:f>
        <x:v>48612896</x:v>
      </x:c>
      <x:c r="E18" s="3" t="str">
        <x:v>원</x:v>
      </x:c>
      <x:c r="F18" s="3" t="str">
        <x:v>목표 상한 - VAT 포함 산정액. 자동 지급액 아님</x:v>
      </x:c>
    </x:row>
    <x:row r="19" ht="30" customHeight="1">
      <x:c r="A19" s="26" t="str">
        <x:v>상한 초과 여부</x:v>
      </x:c>
      <x:c r="B19" s="28" t="str">
        <x:f>IF(COUNT(B18)=1,IF(B18&gt;=0,"상한 이내","상한 초과"),"입력 확인")</x:f>
        <x:v>상한 이내</x:v>
      </x:c>
      <x:c r="C19" s="28" t="str">
        <x:f>IF(COUNT(C18)=1,IF(C18&gt;=0,"상한 이내","상한 초과"),"입력 확인")</x:f>
        <x:v>상한 이내</x:v>
      </x:c>
      <x:c r="D19" s="28" t="str">
        <x:f>IF(COUNT(B18:C18)=2,IF(MIN(B18:C18)&gt;=0,"두 단계 상한 이내","단계 상한 초과"),"입력 확인")</x:f>
        <x:v>두 단계 상한 이내</x:v>
      </x:c>
      <x:c r="E19" s="26" t="str"/>
      <x:c r="F19" s="26" t="str">
        <x:v>상한 내라도 견적·기존 환경 확인 필요</x:v>
      </x:c>
    </x:row>
    <x:row r="20" ht="25" customHeight="1">
      <x:c r="A20" s="3"/>
      <x:c r="B20" s="22"/>
      <x:c r="C20" s="22"/>
      <x:c r="D20" s="22"/>
      <x:c r="E20" s="3"/>
      <x:c r="F20" s="3"/>
    </x:row>
    <x:row r="21" ht="25" customHeight="1">
      <x:c r="A21" s="3"/>
      <x:c r="B21" s="22"/>
      <x:c r="C21" s="22"/>
      <x:c r="D21" s="22"/>
      <x:c r="E21" s="3"/>
      <x:c r="F21" s="3"/>
    </x:row>
    <x:row r="22" ht="25" customHeight="1">
      <x:c r="A22" s="3" t="str">
        <x:v>도입 후 연간 운영</x:v>
      </x:c>
      <x:c r="B22" s="22"/>
      <x:c r="C22" s="22"/>
      <x:c r="D22" s="22" t="n">
        <x:f>'연간운영'!E28</x:f>
        <x:v>123015912</x:v>
      </x:c>
      <x:c r="E22" s="3" t="str">
        <x:v>원</x:v>
      </x:c>
      <x:c r="F22" s="3" t="str">
        <x:v>VAT 포함. 전체 도입 이후 12개월의 증분비</x:v>
      </x:c>
    </x:row>
    <x:row r="23" ht="25" customHeight="1">
      <x:c r="A23" s="3"/>
      <x:c r="B23" s="22"/>
      <x:c r="C23" s="22"/>
      <x:c r="D23" s="22"/>
      <x:c r="E23" s="3"/>
      <x:c r="F23" s="3"/>
    </x:row>
    <x:row r="24" ht="30" customHeight="1">
      <x:c r="A24" s="26" t="str">
        <x:v>구축과 정상 운영 1년</x:v>
      </x:c>
      <x:c r="B24" s="28"/>
      <x:c r="C24" s="28"/>
      <x:c r="D24" s="28" t="n">
        <x:f>IF(COUNT(D16,D22)=2,D16+D22,"입력 확인")</x:f>
        <x:v>1274403016</x:v>
      </x:c>
      <x:c r="E24" s="26" t="str">
        <x:v>원</x:v>
      </x:c>
      <x:c r="F24" s="26" t="str">
        <x:v>W10 중간 운영 포함. 상한 차액·기관 별도 비용 제외</x:v>
      </x:c>
    </x:row>
    <x:row r="25" ht="25" customHeight="1">
      <x:c r="A25" s="3"/>
      <x:c r="B25" s="20"/>
      <x:c r="C25" s="20"/>
      <x:c r="D25" s="20"/>
      <x:c r="E25" s="3"/>
      <x:c r="F25" s="3"/>
    </x:row>
    <x:row r="26" ht="25" customHeight="1">
      <x:c r="A26" s="3"/>
      <x:c r="B26" s="20"/>
      <x:c r="C26" s="20"/>
      <x:c r="D26" s="20"/>
      <x:c r="E26" s="3"/>
      <x:c r="F26" s="3"/>
    </x:row>
    <x:row r="27" ht="36" customHeight="1">
      <x:c r="A27" s="3" t="str">
        <x:v>편집 순서: 가정과단가 → 공수산정 → 도입과직접경비 → 연간운영. 파란 입력을 수정하면 이 요약에 반영됩니다.</x:v>
      </x:c>
      <x:c r="B27" s="20"/>
      <x:c r="C27" s="20"/>
      <x:c r="D27" s="20"/>
      <x:c r="E27" s="3"/>
      <x:c r="F27" s="3"/>
    </x:row>
    <x:row r="28" ht="38" customHeight="1">
      <x:c r="A28" s="3" t="str">
        <x:v>원가 검토 전 확인: 실제 업무 규모·공식 API·CCK 사용권/가용인력·GPU 부하·견적·FP 적용 가능성·기관 감리/평가 예산.</x:v>
      </x:c>
      <x:c r="B28" s="20"/>
      <x:c r="C28" s="20"/>
      <x:c r="D28" s="20"/>
      <x:c r="E28" s="3"/>
      <x:c r="F28" s="3"/>
    </x:row>
    <x:row r="29" ht="25" customHeight="1">
      <x:c r="A29" s="3"/>
      <x:c r="B29" s="3"/>
      <x:c r="C29" s="3"/>
      <x:c r="D29" s="3"/>
      <x:c r="E29" s="3"/>
      <x:c r="F29" s="3"/>
    </x:row>
    <x:row r="30" ht="25" customHeight="1">
      <x:c r="A30" s="3"/>
      <x:c r="B30" s="3"/>
      <x:c r="C30" s="3"/>
      <x:c r="D30" s="3"/>
      <x:c r="E30" s="3"/>
      <x:c r="F30" s="3"/>
    </x:row>
    <x:row r="31" ht="25" customHeight="1">
      <x:c r="A31" s="3"/>
      <x:c r="B31" s="3"/>
      <x:c r="C31" s="3"/>
      <x:c r="D31" s="3"/>
      <x:c r="E31" s="3"/>
      <x:c r="F31" s="3"/>
    </x:row>
    <x:row r="32" ht="25" customHeight="1">
      <x:c r="A32" s="3"/>
      <x:c r="B32" s="3"/>
      <x:c r="C32" s="3"/>
      <x:c r="D32" s="3"/>
      <x:c r="E32" s="3"/>
      <x:c r="F32" s="3"/>
    </x:row>
    <x:row r="33" ht="25" customHeight="1">
      <x:c r="A33" s="3"/>
      <x:c r="B33" s="3"/>
      <x:c r="C33" s="3"/>
      <x:c r="D33" s="3"/>
      <x:c r="E33" s="3"/>
      <x:c r="F33" s="3"/>
    </x:row>
    <x:row r="34" ht="25" customHeight="1">
      <x:c r="A34" s="3"/>
      <x:c r="B34" s="3"/>
      <x:c r="C34" s="3"/>
      <x:c r="D34" s="3"/>
      <x:c r="E34" s="3"/>
      <x:c r="F34" s="3"/>
    </x:row>
    <x:row r="35" ht="25" customHeight="1">
      <x:c r="A35" s="3"/>
      <x:c r="B35" s="3"/>
      <x:c r="C35" s="3"/>
      <x:c r="D35" s="3"/>
      <x:c r="E35" s="3"/>
      <x:c r="F35" s="3"/>
    </x:row>
    <x:row r="36" ht="25" customHeight="1">
      <x:c r="A36" s="3"/>
      <x:c r="B36" s="3"/>
      <x:c r="C36" s="3"/>
      <x:c r="D36" s="3"/>
      <x:c r="E36" s="3"/>
      <x:c r="F36" s="3"/>
    </x:row>
    <x:row r="37" ht="25" customHeight="1">
      <x:c r="A37" s="3"/>
      <x:c r="B37" s="3"/>
      <x:c r="C37" s="3"/>
      <x:c r="D37" s="3"/>
      <x:c r="E37" s="3"/>
      <x:c r="F37" s="3"/>
    </x:row>
    <x:row r="38" ht="25" customHeight="1">
      <x:c r="A38" s="3"/>
      <x:c r="B38" s="3"/>
      <x:c r="C38" s="3"/>
      <x:c r="D38" s="3"/>
      <x:c r="E38" s="3"/>
      <x:c r="F38" s="3"/>
    </x:row>
    <x:row r="39" ht="25" customHeight="1">
      <x:c r="A39" s="3"/>
      <x:c r="B39" s="3"/>
      <x:c r="C39" s="3"/>
      <x:c r="D39" s="3"/>
      <x:c r="E39" s="3"/>
      <x:c r="F39" s="3"/>
    </x:row>
    <x:row r="40" ht="25" customHeight="1">
      <x:c r="A40" s="3"/>
      <x:c r="B40" s="3"/>
      <x:c r="C40" s="3"/>
      <x:c r="D40" s="3"/>
      <x:c r="E40" s="3"/>
      <x:c r="F40" s="3"/>
    </x:row>
    <x:row r="41" ht="25" customHeight="1">
      <x:c r="A41" s="3"/>
      <x:c r="B41" s="3"/>
      <x:c r="C41" s="3"/>
      <x:c r="D41" s="3"/>
      <x:c r="E41" s="3"/>
      <x:c r="F41" s="3"/>
    </x:row>
    <x:row r="42" ht="25" customHeight="1">
      <x:c r="A42" s="3"/>
      <x:c r="B42" s="3"/>
      <x:c r="C42" s="3"/>
      <x:c r="D42" s="3"/>
      <x:c r="E42" s="3"/>
      <x:c r="F42" s="3"/>
    </x:row>
    <x:row r="43" ht="25" customHeight="1">
      <x:c r="A43" s="3"/>
      <x:c r="B43" s="3"/>
      <x:c r="C43" s="3"/>
      <x:c r="D43" s="3"/>
      <x:c r="E43" s="3"/>
      <x:c r="F43" s="3"/>
    </x:row>
    <x:row r="44" ht="25" customHeight="1">
      <x:c r="A44" s="3"/>
      <x:c r="B44" s="3"/>
      <x:c r="C44" s="3"/>
      <x:c r="D44" s="3"/>
      <x:c r="E44" s="3"/>
      <x:c r="F44" s="3"/>
    </x:row>
    <x:row r="45" ht="25" customHeight="1">
      <x:c r="A45" s="3"/>
      <x:c r="B45" s="3"/>
      <x:c r="C45" s="3"/>
      <x:c r="D45" s="3"/>
      <x:c r="E45" s="3"/>
      <x:c r="F45" s="3"/>
    </x:row>
    <x:row r="46" ht="25" customHeight="1">
      <x:c r="A46" s="3"/>
      <x:c r="B46" s="3"/>
      <x:c r="C46" s="3"/>
      <x:c r="D46" s="3"/>
      <x:c r="E46" s="3"/>
      <x:c r="F46" s="3"/>
    </x:row>
    <x:row r="47" ht="25" customHeight="1">
      <x:c r="A47" s="3"/>
      <x:c r="B47" s="3"/>
      <x:c r="C47" s="3"/>
      <x:c r="D47" s="3"/>
      <x:c r="E47" s="3"/>
      <x:c r="F47" s="3"/>
    </x:row>
    <x:row r="48" ht="25" customHeight="1">
      <x:c r="A48" s="3"/>
      <x:c r="B48" s="3"/>
      <x:c r="C48" s="3"/>
      <x:c r="D48" s="3"/>
      <x:c r="E48" s="3"/>
      <x:c r="F48" s="3"/>
    </x:row>
    <x:row r="49" ht="25" customHeight="1">
      <x:c r="A49" s="3"/>
      <x:c r="B49" s="3"/>
      <x:c r="C49" s="3"/>
      <x:c r="D49" s="3"/>
      <x:c r="E49" s="3"/>
      <x:c r="F49" s="3"/>
    </x:row>
    <x:row r="50" ht="25" customHeight="1">
      <x:c r="A50" s="3"/>
      <x:c r="B50" s="3"/>
      <x:c r="C50" s="3"/>
      <x:c r="D50" s="3"/>
      <x:c r="E50" s="3"/>
      <x:c r="F50" s="3"/>
    </x:row>
  </x:sheetData>
  <x:mergeCells>
    <x:mergeCell ref="A3:F3"/>
    <x:mergeCell ref="A27:F27"/>
    <x:mergeCell ref="A28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2" hidden="0" customWidth="1"/>
    <x:col min="4" max="4" width="19" hidden="0" customWidth="1"/>
    <x:col min="5" max="5" width="28" hidden="0" customWidth="1"/>
    <x:col min="6" max="6" width="75" hidden="0" customWidth="1"/>
  </x:cols>
  <x:sheetData>
    <x:row r="1" ht="36" customHeight="1">
      <x:c r="A1" s="35" t="str">
        <x:v>산정 가정과 2026년 직무 단가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32" customHeight="1">
      <x:c r="A3" s="3" t="str">
        <x:v>파란 숫자는 편집 입력. 단가와 가산율은 서로 다른 근거입니다.</x:v>
      </x:c>
      <x:c r="B3" s="3"/>
      <x:c r="C3" s="3"/>
      <x:c r="D3" s="3"/>
      <x:c r="E3" s="3"/>
      <x:c r="F3" s="3"/>
    </x:row>
    <x:row r="4" ht="32" customHeight="1">
      <x:c r="A4" s="6" t="str">
        <x:v>항목</x:v>
      </x:c>
      <x:c r="B4" s="6" t="str">
        <x:v>값</x:v>
      </x:c>
      <x:c r="C4" s="6" t="str">
        <x:v>단위</x:v>
      </x:c>
      <x:c r="D4" s="6" t="str">
        <x:v>성격</x:v>
      </x:c>
      <x:c r="E4" s="6" t="str">
        <x:v>적용 범위</x:v>
      </x:c>
      <x:c r="F4" s="6" t="str">
        <x:v>근거와 수정 조건</x:v>
      </x:c>
    </x:row>
    <x:row r="5" ht="44" customHeight="1">
      <x:c r="A5" s="3" t="str">
        <x:v>제경비율</x:v>
      </x:c>
      <x:c r="B5" s="9" t="n">
        <x:v>1.44</x:v>
      </x:c>
      <x:c r="C5" s="3" t="str">
        <x:v>직접인건비 대비</x:v>
      </x:c>
      <x:c r="D5" s="3" t="str">
        <x:v>가격화 가정</x:v>
      </x:c>
      <x:c r="E5" s="3" t="str">
        <x:v>구축·운영</x:v>
      </x:c>
      <x:c r="F5" s="3" t="str">
        <x:v>개발은 임시 가정. 운영 가이드의 144~154% 범위 참고.</x:v>
      </x:c>
    </x:row>
    <x:row r="6" ht="44" customHeight="1">
      <x:c r="A6" s="3" t="str">
        <x:v>기술료율</x:v>
      </x:c>
      <x:c r="B6" s="9" t="n">
        <x:v>0.2</x:v>
      </x:c>
      <x:c r="C6" s="3" t="str">
        <x:v>인건비+제경비 대비</x:v>
      </x:c>
      <x:c r="D6" s="3" t="str">
        <x:v>가격화 가정</x:v>
      </x:c>
      <x:c r="E6" s="3" t="str">
        <x:v>구축·운영</x:v>
      </x:c>
      <x:c r="F6" s="3" t="str">
        <x:v>20%. 개발 모든 과업에 의무 적용되는 법정요율 아님.</x:v>
      </x:c>
    </x:row>
    <x:row r="7" ht="44" customHeight="1">
      <x:c r="A7" s="3" t="str">
        <x:v>VAT</x:v>
      </x:c>
      <x:c r="B7" s="9" t="n">
        <x:v>0.1</x:v>
      </x:c>
      <x:c r="C7" s="3" t="str">
        <x:v>공급가액 대비</x:v>
      </x:c>
      <x:c r="D7" s="3" t="str">
        <x:v>일반 과세 가정</x:v>
      </x:c>
      <x:c r="E7" s="3" t="str">
        <x:v>전체</x:v>
      </x:c>
      <x:c r="F7" s="3" t="str">
        <x:v>부가가치세법 제30조. 과세 예외 발생 시 별도 계산.</x:v>
      </x:c>
    </x:row>
    <x:row r="8" ht="44" customHeight="1">
      <x:c r="A8" s="3" t="str">
        <x:v>추가 예비율</x:v>
      </x:c>
      <x:c r="B8" s="13" t="n">
        <x:v>0</x:v>
      </x:c>
      <x:c r="C8" s="3" t="str">
        <x:v>가산 없음</x:v>
      </x:c>
      <x:c r="D8" s="3" t="str">
        <x:v>v0.2 기준</x:v>
      </x:c>
      <x:c r="E8" s="3" t="str">
        <x:v>사용 안 함</x:v>
      </x:c>
      <x:c r="F8" s="3" t="str">
        <x:v>15% 추가 가산 폐지. 목표 상한과 산정 총액의 차액만 표시.</x:v>
      </x:c>
    </x:row>
    <x:row r="9" ht="44" customHeight="1">
      <x:c r="A9" s="3" t="str">
        <x:v>공수 보정계수</x:v>
      </x:c>
      <x:c r="B9" s="10" t="n">
        <x:v>1</x:v>
      </x:c>
      <x:c r="C9" s="3" t="str">
        <x:v>배</x:v>
      </x:c>
      <x:c r="D9" s="3" t="str">
        <x:v>민감도 입력</x:v>
      </x:c>
      <x:c r="E9" s="3" t="str">
        <x:v>구축 공수</x:v>
      </x:c>
      <x:c r="F9" s="3" t="str">
        <x:v>범위 확정 후 조정. 동일 계산 경로에 적용.</x:v>
      </x:c>
    </x:row>
    <x:row r="10" ht="44" customHeight="1">
      <x:c r="A10" s="3" t="str">
        <x:v>1단계 기간</x:v>
      </x:c>
      <x:c r="B10" s="8" t="n">
        <x:v>6</x:v>
      </x:c>
      <x:c r="C10" s="3" t="str">
        <x:v>개월</x:v>
      </x:c>
      <x:c r="D10" s="3" t="str">
        <x:v>일정 가정</x:v>
      </x:c>
      <x:c r="E10" s="3" t="str">
        <x:v>X02·X04</x:v>
      </x:c>
      <x:c r="F10" s="3" t="str">
        <x:v>평균 배치인원은 MM/개월. 월별 실제 배치 별도 확정.</x:v>
      </x:c>
    </x:row>
    <x:row r="11" ht="44" customHeight="1">
      <x:c r="A11" s="3" t="str">
        <x:v>2단계 기간</x:v>
      </x:c>
      <x:c r="B11" s="8" t="n">
        <x:v>6</x:v>
      </x:c>
      <x:c r="C11" s="3" t="str">
        <x:v>개월</x:v>
      </x:c>
      <x:c r="D11" s="3" t="str">
        <x:v>일정 가정</x:v>
      </x:c>
      <x:c r="E11" s="3" t="str">
        <x:v>X01 탐색과 읽기 연계</x:v>
      </x:c>
      <x:c r="F11" s="3" t="str">
        <x:v>2차 6개월 중 1차 서비스 제한 운영은 W10 포함. 공백 운영 별도.</x:v>
      </x:c>
    </x:row>
    <x:row r="12" ht="44" customHeight="1">
      <x:c r="A12" s="3" t="str">
        <x:v>운영 기간</x:v>
      </x:c>
      <x:c r="B12" s="8" t="n">
        <x:v>12</x:v>
      </x:c>
      <x:c r="C12" s="3" t="str">
        <x:v>개월</x:v>
      </x:c>
      <x:c r="D12" s="3" t="str">
        <x:v>정상 운영</x:v>
      </x:c>
      <x:c r="E12" s="3" t="str">
        <x:v>전체 서비스</x:v>
      </x:c>
      <x:c r="F12" s="3" t="str">
        <x:v>구축 검수 후 12개월. 24시간 전담 운영·콜센터 없음.</x:v>
      </x:c>
    </x:row>
    <x:row r="13" ht="42" customHeight="1">
      <x:c r="A13" s="3" t="str">
        <x:v>1차 목표 상한</x:v>
      </x:c>
      <x:c r="B13" s="11" t="n">
        <x:v>700000000</x:v>
      </x:c>
      <x:c r="C13" s="3" t="str">
        <x:v>원 VAT 포함</x:v>
      </x:c>
      <x:c r="D13" s="3" t="str">
        <x:v>사용자 제안</x:v>
      </x:c>
      <x:c r="E13" s="3" t="str">
        <x:v>예산 승인 아님</x:v>
      </x:c>
      <x:c r="F13" s="3" t="str">
        <x:v>산정액과 비교하는 상한</x:v>
      </x:c>
    </x:row>
    <x:row r="14" ht="42" customHeight="1">
      <x:c r="A14" s="3" t="str">
        <x:v>2차 목표 상한</x:v>
      </x:c>
      <x:c r="B14" s="11" t="n">
        <x:v>500000000</x:v>
      </x:c>
      <x:c r="C14" s="3" t="str">
        <x:v>원 VAT 포함</x:v>
      </x:c>
      <x:c r="D14" s="3" t="str">
        <x:v>사용자 제안</x:v>
      </x:c>
      <x:c r="E14" s="3" t="str">
        <x:v>추가 사업비</x:v>
      </x:c>
      <x:c r="F14" s="3" t="str">
        <x:v>1차와 합쳐 누계 12억</x:v>
      </x:c>
    </x:row>
    <x:row r="15" ht="32" customHeight="1">
      <x:c r="A15" s="6" t="str">
        <x:v>직무코드</x:v>
      </x:c>
      <x:c r="B15" s="6" t="str">
        <x:v>직무명</x:v>
      </x:c>
      <x:c r="C15" s="6" t="str">
        <x:v>월 임금 원</x:v>
      </x:c>
      <x:c r="D15" s="6" t="str">
        <x:v>출처</x:v>
      </x:c>
      <x:c r="E15" s="6" t="str">
        <x:v>적용기간</x:v>
      </x:c>
      <x:c r="F15" s="6" t="str">
        <x:v>단가 해석</x:v>
      </x:c>
    </x:row>
    <x:row r="16" ht="33" customHeight="1">
      <x:c r="A16" s="3" t="str">
        <x:v>PM</x:v>
      </x:c>
      <x:c r="B16" s="3" t="str">
        <x:v>IT PM</x:v>
      </x:c>
      <x:c r="C16" s="11" t="n">
        <x:v>10086804</x:v>
      </x:c>
      <x:c r="D16" s="3" t="str">
        <x:v>S01</x:v>
      </x:c>
      <x:c r="E16" s="3" t="str">
        <x:v>2026-01~12</x:v>
      </x:c>
      <x:c r="F16" s="3" t="str">
        <x:v>기본급·수당·상여·퇴직·사업주보험 포함</x:v>
      </x:c>
    </x:row>
    <x:row r="17" ht="33" customHeight="1">
      <x:c r="A17" s="3" t="str">
        <x:v>BA</x:v>
      </x:c>
      <x:c r="B17" s="3" t="str">
        <x:v>업무분석가</x:v>
      </x:c>
      <x:c r="C17" s="11" t="n">
        <x:v>9740667</x:v>
      </x:c>
      <x:c r="D17" s="3" t="str">
        <x:v>S01</x:v>
      </x:c>
      <x:c r="E17" s="3" t="str">
        <x:v>2026-01~12</x:v>
      </x:c>
      <x:c r="F17" s="3" t="str">
        <x:v>기본급·수당·상여·퇴직·사업주보험 포함</x:v>
      </x:c>
    </x:row>
    <x:row r="18" ht="33" customHeight="1">
      <x:c r="A18" s="3" t="str">
        <x:v>AR</x:v>
      </x:c>
      <x:c r="B18" s="3" t="str">
        <x:v>IT아키텍트</x:v>
      </x:c>
      <x:c r="C18" s="11" t="n">
        <x:v>11103230</x:v>
      </x:c>
      <x:c r="D18" s="3" t="str">
        <x:v>S01</x:v>
      </x:c>
      <x:c r="E18" s="3" t="str">
        <x:v>2026-01~12</x:v>
      </x:c>
      <x:c r="F18" s="3" t="str">
        <x:v>기본급·수당·상여·퇴직·사업주보험 포함</x:v>
      </x:c>
    </x:row>
    <x:row r="19" ht="33" customHeight="1">
      <x:c r="A19" s="3" t="str">
        <x:v>UX</x:v>
      </x:c>
      <x:c r="B19" s="3" t="str">
        <x:v>UI/UX기획개발자</x:v>
      </x:c>
      <x:c r="C19" s="11" t="n">
        <x:v>6901660</x:v>
      </x:c>
      <x:c r="D19" s="3" t="str">
        <x:v>S01</x:v>
      </x:c>
      <x:c r="E19" s="3" t="str">
        <x:v>2026-01~12</x:v>
      </x:c>
      <x:c r="F19" s="3" t="str">
        <x:v>기본급·수당·상여·퇴직·사업주보험 포함</x:v>
      </x:c>
    </x:row>
    <x:row r="20" ht="33" customHeight="1">
      <x:c r="A20" s="3" t="str">
        <x:v>DEV</x:v>
      </x:c>
      <x:c r="B20" s="3" t="str">
        <x:v>응용SW개발자</x:v>
      </x:c>
      <x:c r="C20" s="11" t="n">
        <x:v>7754124</x:v>
      </x:c>
      <x:c r="D20" s="3" t="str">
        <x:v>S01</x:v>
      </x:c>
      <x:c r="E20" s="3" t="str">
        <x:v>2026-01~12</x:v>
      </x:c>
      <x:c r="F20" s="3" t="str">
        <x:v>기본급·수당·상여·퇴직·사업주보험 포함</x:v>
      </x:c>
    </x:row>
    <x:row r="21" ht="33" customHeight="1">
      <x:c r="A21" s="3" t="str">
        <x:v>DATA</x:v>
      </x:c>
      <x:c r="B21" s="3" t="str">
        <x:v>데이터분석가</x:v>
      </x:c>
      <x:c r="C21" s="11" t="n">
        <x:v>8499309</x:v>
      </x:c>
      <x:c r="D21" s="3" t="str">
        <x:v>S01</x:v>
      </x:c>
      <x:c r="E21" s="3" t="str">
        <x:v>2026-01~12</x:v>
      </x:c>
      <x:c r="F21" s="3" t="str">
        <x:v>기본급·수당·상여·퇴직·사업주보험 포함</x:v>
      </x:c>
    </x:row>
    <x:row r="22" ht="33" customHeight="1">
      <x:c r="A22" s="3" t="str">
        <x:v>QA</x:v>
      </x:c>
      <x:c r="B22" s="3" t="str">
        <x:v>IT품질관리자</x:v>
      </x:c>
      <x:c r="C22" s="11" t="n">
        <x:v>11042071</x:v>
      </x:c>
      <x:c r="D22" s="3" t="str">
        <x:v>S01</x:v>
      </x:c>
      <x:c r="E22" s="3" t="str">
        <x:v>2026-01~12</x:v>
      </x:c>
      <x:c r="F22" s="3" t="str">
        <x:v>기본급·수당·상여·퇴직·사업주보험 포함</x:v>
      </x:c>
    </x:row>
    <x:row r="23" ht="33" customHeight="1">
      <x:c r="A23" s="3" t="str">
        <x:v>TEST</x:v>
      </x:c>
      <x:c r="B23" s="3" t="str">
        <x:v>IT테스터</x:v>
      </x:c>
      <x:c r="C23" s="11" t="n">
        <x:v>4053137</x:v>
      </x:c>
      <x:c r="D23" s="3" t="str">
        <x:v>S01</x:v>
      </x:c>
      <x:c r="E23" s="3" t="str">
        <x:v>2026-01~12</x:v>
      </x:c>
      <x:c r="F23" s="3" t="str">
        <x:v>기본급·수당·상여·퇴직·사업주보험 포함</x:v>
      </x:c>
    </x:row>
    <x:row r="24" ht="33" customHeight="1">
      <x:c r="A24" s="3" t="str">
        <x:v>SEC</x:v>
      </x:c>
      <x:c r="B24" s="3" t="str">
        <x:v>정보보안전문가</x:v>
      </x:c>
      <x:c r="C24" s="11" t="n">
        <x:v>10411680</x:v>
      </x:c>
      <x:c r="D24" s="3" t="str">
        <x:v>S01</x:v>
      </x:c>
      <x:c r="E24" s="3" t="str">
        <x:v>2026-01~12</x:v>
      </x:c>
      <x:c r="F24" s="3" t="str">
        <x:v>기본급·수당·상여·퇴직·사업주보험 포함</x:v>
      </x:c>
    </x:row>
    <x:row r="25" ht="33" customHeight="1">
      <x:c r="A25" s="3" t="str">
        <x:v>OPS</x:v>
      </x:c>
      <x:c r="B25" s="3" t="str">
        <x:v>정보시스템운용자</x:v>
      </x:c>
      <x:c r="C25" s="11" t="n">
        <x:v>10649117</x:v>
      </x:c>
      <x:c r="D25" s="3" t="str">
        <x:v>S01</x:v>
      </x:c>
      <x:c r="E25" s="3" t="str">
        <x:v>2026-01~12</x:v>
      </x:c>
      <x:c r="F25" s="3" t="str">
        <x:v>기본급·수당·상여·퇴직·사업주보험 포함</x:v>
      </x:c>
    </x:row>
    <x:row r="26" ht="25" customHeight="1">
      <x:c r="A26" s="3"/>
      <x:c r="B26" s="3"/>
      <x:c r="C26" s="3"/>
      <x:c r="D26" s="3"/>
      <x:c r="E26" s="3"/>
      <x:c r="F26" s="3"/>
    </x:row>
    <x:row r="27" ht="25" customHeight="1">
      <x:c r="A27" s="3"/>
      <x:c r="B27" s="3"/>
      <x:c r="C27" s="3"/>
      <x:c r="D27" s="3"/>
      <x:c r="E27" s="3"/>
      <x:c r="F27" s="3"/>
    </x:row>
    <x:row r="28" ht="25" customHeight="1">
      <x:c r="A28" s="14" t="str">
        <x:v>공식 출처</x:v>
      </x:c>
      <x:c r="B28" s="3"/>
      <x:c r="C28" s="3"/>
      <x:c r="D28" s="3"/>
      <x:c r="E28" s="3"/>
      <x:c r="F28" s="3"/>
    </x:row>
    <x:row r="29" ht="25" customHeight="1">
      <x:c r="A29" s="3" t="str">
        <x:v>S01 2026년 적용 SW기술자 평균임금 · 2025-12-19 공표, 2026년 적용</x:v>
      </x:c>
      <x:c r="B29" s="3"/>
      <x:c r="C29" s="3"/>
      <x:c r="D29" s="3"/>
      <x:c r="E29" s="3"/>
      <x:c r="F29" s="3"/>
    </x:row>
    <x:row r="30" ht="25" customHeight="1">
      <x:c r="A30" s="15" t="str">
        <x:v>https://www.sw.or.kr/site/kipa/ex/board/View.do?bcIdx=64717&amp;cbIdx=304&amp;gubun=G</x:v>
      </x:c>
      <x:c r="B30" s="15"/>
      <x:c r="C30" s="15"/>
      <x:c r="D30" s="15"/>
      <x:c r="E30" s="15"/>
      <x:c r="F30" s="15"/>
    </x:row>
    <x:row r="31" ht="25" customHeight="1">
      <x:c r="A31" s="3" t="str">
        <x:v>S02 SW사업 대가산정 가이드 2025년 개정판 · 2025-08-11 공표</x:v>
      </x:c>
      <x:c r="B31" s="3"/>
      <x:c r="C31" s="3"/>
      <x:c r="D31" s="3"/>
      <x:c r="E31" s="3"/>
      <x:c r="F31" s="3"/>
    </x:row>
    <x:row r="32" ht="25" customHeight="1">
      <x:c r="A32" s="15" t="str">
        <x:v>https://www.sw.or.kr/site/sw/ex/board/View.do?cbIdx=276&amp;bcIdx=63607&amp;searchExt1=</x:v>
      </x:c>
      <x:c r="B32" s="15"/>
      <x:c r="C32" s="15"/>
      <x:c r="D32" s="15"/>
      <x:c r="E32" s="15"/>
      <x:c r="F32" s="15"/>
    </x:row>
    <x:row r="33" ht="25" customHeight="1">
      <x:c r="A33" s="3" t="str">
        <x:v>S03 소프트웨어사업 계약 및 관리감독에 관한 지침 · 2023-05-15 시행, 고시 제2023-15호</x:v>
      </x:c>
      <x:c r="B33" s="3"/>
      <x:c r="C33" s="3"/>
      <x:c r="D33" s="3"/>
      <x:c r="E33" s="3"/>
      <x:c r="F33" s="3"/>
    </x:row>
    <x:row r="34" ht="25" customHeight="1">
      <x:c r="A34" s="15" t="str">
        <x:v>https://law.go.kr/LSW/admRulInfoP.do?admRulSeq=2100000223356</x:v>
      </x:c>
      <x:c r="B34" s="15"/>
      <x:c r="C34" s="15"/>
      <x:c r="D34" s="15"/>
      <x:c r="E34" s="15"/>
      <x:c r="F34" s="15"/>
    </x:row>
    <x:row r="35" ht="25" customHeight="1">
      <x:c r="A35" s="3" t="str">
        <x:v>S04 부가가치세법 제30조 · 2026-01-02 시행본</x:v>
      </x:c>
      <x:c r="B35" s="3"/>
      <x:c r="C35" s="3"/>
      <x:c r="D35" s="3"/>
      <x:c r="E35" s="3"/>
      <x:c r="F35" s="3"/>
    </x:row>
    <x:row r="36" ht="25" customHeight="1">
      <x:c r="A36" s="15" t="str">
        <x:v>https://law.go.kr/LSW/lsLinkCommonInfo.do?chrClsCd=010202&amp;lsJoLnkSeq=1028444683</x:v>
      </x:c>
      <x:c r="B36" s="15"/>
      <x:c r="C36" s="15"/>
      <x:c r="D36" s="15"/>
      <x:c r="E36" s="15"/>
      <x:c r="F36" s="15"/>
    </x:row>
    <x:row r="37" ht="25" customHeight="1">
      <x:c r="A37" s="3"/>
      <x:c r="B37" s="3"/>
      <x:c r="C37" s="3"/>
      <x:c r="D37" s="3"/>
      <x:c r="E37" s="3"/>
      <x:c r="F37" s="3"/>
    </x:row>
    <x:row r="38" ht="25" customHeight="1">
      <x:c r="A38" s="3" t="str">
        <x:v>1차 텍스트 2,000건·동시 2건, 2차 누계 5,000건·동시 4건·읽기 계약 3개. 기존 GPU 제공 조건.</x:v>
      </x:c>
      <x:c r="B38" s="3"/>
      <x:c r="C38" s="3"/>
      <x:c r="D38" s="3"/>
      <x:c r="E38" s="3"/>
      <x:c r="F38" s="3"/>
    </x:row>
    <x:row r="39" ht="25" customHeight="1">
      <x:c r="A39" s="3" t="str">
        <x:v>FP 미측정. 기능 경계·연계·사용권·견적 확보 후 산정 방식을 과업별 확정하세요.</x:v>
      </x:c>
      <x:c r="B39" s="3"/>
      <x:c r="C39" s="3"/>
      <x:c r="D39" s="3"/>
      <x:c r="E39" s="3"/>
      <x:c r="F39" s="3"/>
    </x:row>
    <x:row r="40" ht="25" customHeight="1">
      <x:c r="A40" s="3"/>
      <x:c r="B40" s="3"/>
      <x:c r="C40" s="3"/>
      <x:c r="D40" s="3"/>
      <x:c r="E40" s="3"/>
      <x:c r="F40" s="3"/>
    </x:row>
    <x:row r="41" ht="25" customHeight="1">
      <x:c r="A41" s="3"/>
      <x:c r="B41" s="3"/>
      <x:c r="C41" s="3"/>
      <x:c r="D41" s="3"/>
      <x:c r="E41" s="3"/>
      <x:c r="F41" s="3"/>
    </x:row>
    <x:row r="42" ht="25" customHeight="1">
      <x:c r="A42" s="3"/>
      <x:c r="B42" s="3"/>
      <x:c r="C42" s="3"/>
      <x:c r="D42" s="3"/>
      <x:c r="E42" s="3"/>
      <x:c r="F42" s="3"/>
    </x:row>
    <x:row r="43" ht="25" customHeight="1">
      <x:c r="A43" s="3"/>
      <x:c r="B43" s="3"/>
      <x:c r="C43" s="3"/>
      <x:c r="D43" s="3"/>
      <x:c r="E43" s="3"/>
      <x:c r="F43" s="3"/>
    </x:row>
    <x:row r="44" ht="25" customHeight="1">
      <x:c r="A44" s="3"/>
      <x:c r="B44" s="3"/>
      <x:c r="C44" s="3"/>
      <x:c r="D44" s="3"/>
      <x:c r="E44" s="3"/>
      <x:c r="F44" s="3"/>
    </x:row>
    <x:row r="45" ht="25" customHeight="1">
      <x:c r="A45" s="3"/>
      <x:c r="B45" s="3"/>
      <x:c r="C45" s="3"/>
      <x:c r="D45" s="3"/>
      <x:c r="E45" s="3"/>
      <x:c r="F45" s="3"/>
    </x:row>
    <x:row r="46" ht="25" customHeight="1">
      <x:c r="A46" s="3"/>
      <x:c r="B46" s="3"/>
      <x:c r="C46" s="3"/>
      <x:c r="D46" s="3"/>
      <x:c r="E46" s="3"/>
      <x:c r="F46" s="3"/>
    </x:row>
    <x:row r="47" ht="25" customHeight="1">
      <x:c r="A47" s="3"/>
      <x:c r="B47" s="3"/>
      <x:c r="C47" s="3"/>
      <x:c r="D47" s="3"/>
      <x:c r="E47" s="3"/>
      <x:c r="F47" s="3"/>
    </x:row>
    <x:row r="48" ht="25" customHeight="1">
      <x:c r="A48" s="3"/>
      <x:c r="B48" s="3"/>
      <x:c r="C48" s="3"/>
      <x:c r="D48" s="3"/>
      <x:c r="E48" s="3"/>
      <x:c r="F48" s="3"/>
    </x:row>
    <x:row r="49" ht="25" customHeight="1">
      <x:c r="A49" s="3"/>
      <x:c r="B49" s="3"/>
      <x:c r="C49" s="3"/>
      <x:c r="D49" s="3"/>
      <x:c r="E49" s="3"/>
      <x:c r="F49" s="3"/>
    </x:row>
    <x:row r="50" ht="25" customHeight="1">
      <x:c r="A50" s="3"/>
      <x:c r="B50" s="3"/>
      <x:c r="C50" s="3"/>
      <x:c r="D50" s="3"/>
      <x:c r="E50" s="3"/>
      <x:c r="F50" s="3"/>
    </x:row>
  </x:sheetData>
  <x:mergeCells>
    <x:mergeCell ref="A3:F3"/>
    <x:mergeCell ref="A29:F29"/>
    <x:mergeCell ref="A30:F30"/>
    <x:mergeCell ref="A31:F31"/>
    <x:mergeCell ref="A32:F32"/>
    <x:mergeCell ref="A33:F33"/>
    <x:mergeCell ref="A34:F34"/>
    <x:mergeCell ref="A35:F35"/>
    <x:mergeCell ref="A36:F36"/>
    <x:mergeCell ref="A38:F38"/>
    <x:mergeCell ref="A39:F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32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2" hidden="0" customWidth="1"/>
    <x:col min="15" max="15" width="21" hidden="0" customWidth="1"/>
  </x:cols>
  <x:sheetData>
    <x:row r="1" ht="36" customHeight="1">
      <x:c r="A1" s="35" t="str">
        <x:v>구축 작업별 공수와 직접인건비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3" t="str">
        <x:v>단위 MM · 파란 입력은 업무별 가정 · 공통 적응 1회 · W10에 1차의 6개월 제한 운영 포함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2" customHeight="1">
      <x:c r="A5" s="6" t="str">
        <x:v>WBS</x:v>
      </x:c>
      <x:c r="B5" s="6" t="str">
        <x:v>단계</x:v>
      </x:c>
      <x:c r="C5" s="6" t="str">
        <x:v>작업</x:v>
      </x:c>
      <x:c r="D5" s="6" t="str">
        <x:v>PM</x:v>
      </x:c>
      <x:c r="E5" s="6" t="str">
        <x:v>BA</x:v>
      </x:c>
      <x:c r="F5" s="6" t="str">
        <x:v>AR</x:v>
      </x:c>
      <x:c r="G5" s="6" t="str">
        <x:v>UX</x:v>
      </x:c>
      <x:c r="H5" s="6" t="str">
        <x:v>DEV</x:v>
      </x:c>
      <x:c r="I5" s="6" t="str">
        <x:v>DATA</x:v>
      </x:c>
      <x:c r="J5" s="6" t="str">
        <x:v>QA</x:v>
      </x:c>
      <x:c r="K5" s="6" t="str">
        <x:v>TEST</x:v>
      </x:c>
      <x:c r="L5" s="6" t="str">
        <x:v>SEC</x:v>
      </x:c>
      <x:c r="M5" s="6" t="str">
        <x:v>OPS</x:v>
      </x:c>
      <x:c r="N5" s="6" t="str">
        <x:v>적용 MM</x:v>
      </x:c>
      <x:c r="O5" s="6" t="str">
        <x:v>직접인건비 원</x:v>
      </x:c>
    </x:row>
    <x:row r="6" ht="48" customHeight="1">
      <x:c r="A6" s="3" t="str">
        <x:v>W01</x:v>
      </x:c>
      <x:c r="B6" s="3" t="str">
        <x:v>1단계</x:v>
      </x:c>
      <x:c r="C6" s="3" t="str">
        <x:v>범위 분석과 재사용 확인</x:v>
      </x:c>
      <x:c r="D6" s="17" t="n">
        <x:v>1</x:v>
      </x:c>
      <x:c r="E6" s="17" t="n">
        <x:v>1</x:v>
      </x:c>
      <x:c r="F6" s="17" t="n">
        <x:v>0.5</x:v>
      </x:c>
      <x:c r="G6" s="17" t="n">
        <x:v>0.5</x:v>
      </x:c>
      <x:c r="H6" s="17" t="n">
        <x:v>0</x:v>
      </x:c>
      <x:c r="I6" s="17" t="n">
        <x:v>0</x:v>
      </x:c>
      <x:c r="J6" s="17" t="n">
        <x:v>0</x:v>
      </x:c>
      <x:c r="K6" s="17" t="n">
        <x:v>0</x:v>
      </x:c>
      <x:c r="L6" s="17" t="n">
        <x:v>0.2</x:v>
      </x:c>
      <x:c r="M6" s="17" t="n">
        <x:v>0</x:v>
      </x:c>
      <x:c r="N6" s="18" t="n">
        <x:f>IF(COUNT(D6:M6)=10,SUM(D6:M6)*'가정과단가'!$B$9,"입력 누락")</x:f>
        <x:v>3.2</x:v>
      </x:c>
      <x:c r="O6" s="19" t="n">
        <x:f>IF(AND(COUNT(D6:M6)=10,COUNT('가정과단가'!$C$16:$C$25)=10),(D6*'가정과단가'!$C$16+E6*'가정과단가'!$C$17+F6*'가정과단가'!$C$18+G6*'가정과단가'!$C$19+H6*'가정과단가'!$C$20+I6*'가정과단가'!$C$21+J6*'가정과단가'!$C$22+K6*'가정과단가'!$C$23+L6*'가정과단가'!$C$24+M6*'가정과단가'!$C$25)*'가정과단가'!$B$9,"입력 누락")</x:f>
        <x:v>30912252</x:v>
      </x:c>
    </x:row>
    <x:row r="7" ht="48" customHeight="1">
      <x:c r="A7" s="3" t="str">
        <x:v>W02</x:v>
      </x:c>
      <x:c r="B7" s="3" t="str">
        <x:v>1단계</x:v>
      </x:c>
      <x:c r="C7" s="3" t="str">
        <x:v>로컬 호출과 근거 처리 적응</x:v>
      </x:c>
      <x:c r="D7" s="17" t="n">
        <x:v>0.3</x:v>
      </x:c>
      <x:c r="E7" s="17" t="n">
        <x:v>0</x:v>
      </x:c>
      <x:c r="F7" s="17" t="n">
        <x:v>0.5</x:v>
      </x:c>
      <x:c r="G7" s="17" t="n">
        <x:v>0</x:v>
      </x:c>
      <x:c r="H7" s="17" t="n">
        <x:v>2</x:v>
      </x:c>
      <x:c r="I7" s="17" t="n">
        <x:v>0.5</x:v>
      </x:c>
      <x:c r="J7" s="17" t="n">
        <x:v>0</x:v>
      </x:c>
      <x:c r="K7" s="17" t="n">
        <x:v>0.5</x:v>
      </x:c>
      <x:c r="L7" s="17" t="n">
        <x:v>0.2</x:v>
      </x:c>
      <x:c r="M7" s="17" t="n">
        <x:v>0.3</x:v>
      </x:c>
      <x:c r="N7" s="18" t="n">
        <x:f>IF(COUNT(D7:M7)=10,SUM(D7:M7)*'가정과단가'!$B$9,"입력 누락")</x:f>
        <x:v>4.3</x:v>
      </x:c>
      <x:c r="O7" s="19" t="n">
        <x:f>IF(AND(COUNT(D7:M7)=10,COUNT('가정과단가'!$C$16:$C$25)=10),(D7*'가정과단가'!$C$16+E7*'가정과단가'!$C$17+F7*'가정과단가'!$C$18+G7*'가정과단가'!$C$19+H7*'가정과단가'!$C$20+I7*'가정과단가'!$C$21+J7*'가정과단가'!$C$22+K7*'가정과단가'!$C$23+L7*'가정과단가'!$C$24+M7*'가정과단가'!$C$25)*'가정과단가'!$B$9,"입력 누락")</x:f>
        <x:v>35639198.3</x:v>
      </x:c>
    </x:row>
    <x:row r="8" ht="48" customHeight="1">
      <x:c r="A8" s="3" t="str">
        <x:v>W03</x:v>
      </x:c>
      <x:c r="B8" s="3" t="str">
        <x:v>1단계</x:v>
      </x:c>
      <x:c r="C8" s="3" t="str">
        <x:v>업무 상태와 권한 적용</x:v>
      </x:c>
      <x:c r="D8" s="17" t="n">
        <x:v>0.2</x:v>
      </x:c>
      <x:c r="E8" s="17" t="n">
        <x:v>0.3</x:v>
      </x:c>
      <x:c r="F8" s="17" t="n">
        <x:v>0</x:v>
      </x:c>
      <x:c r="G8" s="17" t="n">
        <x:v>0.2</x:v>
      </x:c>
      <x:c r="H8" s="17" t="n">
        <x:v>1.2</x:v>
      </x:c>
      <x:c r="I8" s="17" t="n">
        <x:v>0</x:v>
      </x:c>
      <x:c r="J8" s="17" t="n">
        <x:v>0</x:v>
      </x:c>
      <x:c r="K8" s="17" t="n">
        <x:v>0.3</x:v>
      </x:c>
      <x:c r="L8" s="17" t="n">
        <x:v>0.1</x:v>
      </x:c>
      <x:c r="M8" s="17" t="n">
        <x:v>0</x:v>
      </x:c>
      <x:c r="N8" s="18" t="n">
        <x:f>IF(COUNT(D8:M8)=10,SUM(D8:M8)*'가정과단가'!$B$9,"입력 누락")</x:f>
        <x:v>2.3</x:v>
      </x:c>
      <x:c r="O8" s="19" t="n">
        <x:f>IF(AND(COUNT(D8:M8)=10,COUNT('가정과단가'!$C$16:$C$25)=10),(D8*'가정과단가'!$C$16+E8*'가정과단가'!$C$17+F8*'가정과단가'!$C$18+G8*'가정과단가'!$C$19+H8*'가정과단가'!$C$20+I8*'가정과단가'!$C$21+J8*'가정과단가'!$C$22+K8*'가정과단가'!$C$23+L8*'가정과단가'!$C$24+M8*'가정과단가'!$C$25)*'가정과단가'!$B$9,"입력 누락")</x:f>
        <x:v>17881950.8</x:v>
      </x:c>
    </x:row>
    <x:row r="9" ht="48" customHeight="1">
      <x:c r="A9" s="3" t="str">
        <x:v>W04</x:v>
      </x:c>
      <x:c r="B9" s="3" t="str">
        <x:v>1단계</x:v>
      </x:c>
      <x:c r="C9" s="3" t="str">
        <x:v>X02 후속 행동 안내</x:v>
      </x:c>
      <x:c r="D9" s="17" t="n">
        <x:v>0.2</x:v>
      </x:c>
      <x:c r="E9" s="17" t="n">
        <x:v>0.5</x:v>
      </x:c>
      <x:c r="F9" s="17" t="n">
        <x:v>0</x:v>
      </x:c>
      <x:c r="G9" s="17" t="n">
        <x:v>0.5</x:v>
      </x:c>
      <x:c r="H9" s="17" t="n">
        <x:v>1.5</x:v>
      </x:c>
      <x:c r="I9" s="17" t="n">
        <x:v>0.5</x:v>
      </x:c>
      <x:c r="J9" s="17" t="n">
        <x:v>0</x:v>
      </x:c>
      <x:c r="K9" s="17" t="n">
        <x:v>0.5</x:v>
      </x:c>
      <x:c r="L9" s="17" t="n">
        <x:v>0</x:v>
      </x:c>
      <x:c r="M9" s="17" t="n">
        <x:v>0</x:v>
      </x:c>
      <x:c r="N9" s="18" t="n">
        <x:f>IF(COUNT(D9:M9)=10,SUM(D9:M9)*'가정과단가'!$B$9,"입력 누락")</x:f>
        <x:v>3.7</x:v>
      </x:c>
      <x:c r="O9" s="19" t="n">
        <x:f>IF(AND(COUNT(D9:M9)=10,COUNT('가정과단가'!$C$16:$C$25)=10),(D9*'가정과단가'!$C$16+E9*'가정과단가'!$C$17+F9*'가정과단가'!$C$18+G9*'가정과단가'!$C$19+H9*'가정과단가'!$C$20+I9*'가정과단가'!$C$21+J9*'가정과단가'!$C$22+K9*'가정과단가'!$C$23+L9*'가정과단가'!$C$24+M9*'가정과단가'!$C$25)*'가정과단가'!$B$9,"입력 누락")</x:f>
        <x:v>28245933.3</x:v>
      </x:c>
    </x:row>
    <x:row r="10" ht="48" customHeight="1">
      <x:c r="A10" s="3" t="str">
        <x:v>W05</x:v>
      </x:c>
      <x:c r="B10" s="3" t="str">
        <x:v>1단계</x:v>
      </x:c>
      <x:c r="C10" s="3" t="str">
        <x:v>X04 지적과 증빙 검토</x:v>
      </x:c>
      <x:c r="D10" s="17" t="n">
        <x:v>0.3</x:v>
      </x:c>
      <x:c r="E10" s="17" t="n">
        <x:v>0.5</x:v>
      </x:c>
      <x:c r="F10" s="17" t="n">
        <x:v>0</x:v>
      </x:c>
      <x:c r="G10" s="17" t="n">
        <x:v>0.5</x:v>
      </x:c>
      <x:c r="H10" s="17" t="n">
        <x:v>2.5</x:v>
      </x:c>
      <x:c r="I10" s="17" t="n">
        <x:v>0.5</x:v>
      </x:c>
      <x:c r="J10" s="17" t="n">
        <x:v>0</x:v>
      </x:c>
      <x:c r="K10" s="17" t="n">
        <x:v>0.5</x:v>
      </x:c>
      <x:c r="L10" s="17" t="n">
        <x:v>0</x:v>
      </x:c>
      <x:c r="M10" s="17" t="n">
        <x:v>0</x:v>
      </x:c>
      <x:c r="N10" s="18" t="n">
        <x:f>IF(COUNT(D10:M10)=10,SUM(D10:M10)*'가정과단가'!$B$9,"입력 누락")</x:f>
        <x:v>4.8</x:v>
      </x:c>
      <x:c r="O10" s="19" t="n">
        <x:f>IF(AND(COUNT(D10:M10)=10,COUNT('가정과단가'!$C$16:$C$25)=10),(D10*'가정과단가'!$C$16+E10*'가정과단가'!$C$17+F10*'가정과단가'!$C$18+G10*'가정과단가'!$C$19+H10*'가정과단가'!$C$20+I10*'가정과단가'!$C$21+J10*'가정과단가'!$C$22+K10*'가정과단가'!$C$23+L10*'가정과단가'!$C$24+M10*'가정과단가'!$C$25)*'가정과단가'!$B$9,"입력 누락")</x:f>
        <x:v>37008737.7</x:v>
      </x:c>
    </x:row>
    <x:row r="11" ht="48" customHeight="1">
      <x:c r="A11" s="3" t="str">
        <x:v>W06</x:v>
      </x:c>
      <x:c r="B11" s="3" t="str">
        <x:v>1단계</x:v>
      </x:c>
      <x:c r="C11" s="3" t="str">
        <x:v>1차 검수와 운영 인수</x:v>
      </x:c>
      <x:c r="D11" s="17" t="n">
        <x:v>0.5</x:v>
      </x:c>
      <x:c r="E11" s="17" t="n">
        <x:v>0</x:v>
      </x:c>
      <x:c r="F11" s="17" t="n">
        <x:v>0</x:v>
      </x:c>
      <x:c r="G11" s="17" t="n">
        <x:v>0</x:v>
      </x:c>
      <x:c r="H11" s="17" t="n">
        <x:v>0.5</x:v>
      </x:c>
      <x:c r="I11" s="17" t="n">
        <x:v>0</x:v>
      </x:c>
      <x:c r="J11" s="17" t="n">
        <x:v>0.5</x:v>
      </x:c>
      <x:c r="K11" s="17" t="n">
        <x:v>1</x:v>
      </x:c>
      <x:c r="L11" s="17" t="n">
        <x:v>0.4</x:v>
      </x:c>
      <x:c r="M11" s="17" t="n">
        <x:v>0.3</x:v>
      </x:c>
      <x:c r="N11" s="18" t="n">
        <x:f>IF(COUNT(D11:M11)=10,SUM(D11:M11)*'가정과단가'!$B$9,"입력 누락")</x:f>
        <x:v>3.1999999999999997</x:v>
      </x:c>
      <x:c r="O11" s="19" t="n">
        <x:f>IF(AND(COUNT(D11:M11)=10,COUNT('가정과단가'!$C$16:$C$25)=10),(D11*'가정과단가'!$C$16+E11*'가정과단가'!$C$17+F11*'가정과단가'!$C$18+G11*'가정과단가'!$C$19+H11*'가정과단가'!$C$20+I11*'가정과단가'!$C$21+J11*'가정과단가'!$C$22+K11*'가정과단가'!$C$23+L11*'가정과단가'!$C$24+M11*'가정과단가'!$C$25)*'가정과단가'!$B$9,"입력 누락")</x:f>
        <x:v>25854043.6</x:v>
      </x:c>
    </x:row>
    <x:row r="12" ht="48" customHeight="1">
      <x:c r="A12" s="3" t="str">
        <x:v>W07</x:v>
      </x:c>
      <x:c r="B12" s="3" t="str">
        <x:v>2단계</x:v>
      </x:c>
      <x:c r="C12" s="3" t="str">
        <x:v>X01 예약 일정 탐색</x:v>
      </x:c>
      <x:c r="D12" s="17" t="n">
        <x:v>0.4</x:v>
      </x:c>
      <x:c r="E12" s="17" t="n">
        <x:v>0.5</x:v>
      </x:c>
      <x:c r="F12" s="17" t="n">
        <x:v>0.3</x:v>
      </x:c>
      <x:c r="G12" s="17" t="n">
        <x:v>0.7</x:v>
      </x:c>
      <x:c r="H12" s="17" t="n">
        <x:v>2</x:v>
      </x:c>
      <x:c r="I12" s="17" t="n">
        <x:v>0.2</x:v>
      </x:c>
      <x:c r="J12" s="17" t="n">
        <x:v>0</x:v>
      </x:c>
      <x:c r="K12" s="17" t="n">
        <x:v>0.5</x:v>
      </x:c>
      <x:c r="L12" s="17" t="n">
        <x:v>0.1</x:v>
      </x:c>
      <x:c r="M12" s="17" t="n">
        <x:v>0</x:v>
      </x:c>
      <x:c r="N12" s="18" t="n">
        <x:f>IF(COUNT(D12:M12)=10,SUM(D12:M12)*'가정과단가'!$B$9,"입력 누락")</x:f>
        <x:v>4.699999999999999</x:v>
      </x:c>
      <x:c r="O12" s="19" t="n">
        <x:f>IF(AND(COUNT(D12:M12)=10,COUNT('가정과단가'!$C$16:$C$25)=10),(D12*'가정과단가'!$C$16+E12*'가정과단가'!$C$17+F12*'가정과단가'!$C$18+G12*'가정과단가'!$C$19+H12*'가정과단가'!$C$20+I12*'가정과단가'!$C$21+J12*'가정과단가'!$C$22+K12*'가정과단가'!$C$23+L12*'가정과단가'!$C$24+M12*'가정과단가'!$C$25)*'가정과단가'!$B$9,"입력 누락")</x:f>
        <x:v>37343032.4</x:v>
      </x:c>
    </x:row>
    <x:row r="13" ht="48" customHeight="1">
      <x:c r="A13" s="3" t="str">
        <x:v>W08</x:v>
      </x:c>
      <x:c r="B13" s="3" t="str">
        <x:v>2단계</x:v>
      </x:c>
      <x:c r="C13" s="3" t="str">
        <x:v>X02 X04 읽기 연계</x:v>
      </x:c>
      <x:c r="D13" s="17" t="n">
        <x:v>0.3</x:v>
      </x:c>
      <x:c r="E13" s="17" t="n">
        <x:v>0.5</x:v>
      </x:c>
      <x:c r="F13" s="17" t="n">
        <x:v>0.2</x:v>
      </x:c>
      <x:c r="G13" s="17" t="n">
        <x:v>0.3</x:v>
      </x:c>
      <x:c r="H13" s="17" t="n">
        <x:v>1.5</x:v>
      </x:c>
      <x:c r="I13" s="17" t="n">
        <x:v>0.2</x:v>
      </x:c>
      <x:c r="J13" s="17" t="n">
        <x:v>0</x:v>
      </x:c>
      <x:c r="K13" s="17" t="n">
        <x:v>0.5</x:v>
      </x:c>
      <x:c r="L13" s="17" t="n">
        <x:v>0.1</x:v>
      </x:c>
      <x:c r="M13" s="17" t="n">
        <x:v>0</x:v>
      </x:c>
      <x:c r="N13" s="18" t="n">
        <x:f>IF(COUNT(D13:M13)=10,SUM(D13:M13)*'가정과단가'!$B$9,"입력 누락")</x:f>
        <x:v>3.6</x:v>
      </x:c>
      <x:c r="O13" s="19" t="n">
        <x:f>IF(AND(COUNT(D13:M13)=10,COUNT('가정과단가'!$C$16:$C$25)=10),(D13*'가정과단가'!$C$16+E13*'가정과단가'!$C$17+F13*'가정과단가'!$C$18+G13*'가정과단가'!$C$19+H13*'가정과단가'!$C$20+I13*'가정과단가'!$C$21+J13*'가정과단가'!$C$22+K13*'가정과단가'!$C$23+L13*'가정과단가'!$C$24+M13*'가정과단가'!$C$25)*'가정과단가'!$B$9,"입력 누락")</x:f>
        <x:v>28586303</x:v>
      </x:c>
    </x:row>
    <x:row r="14" ht="48" customHeight="1">
      <x:c r="A14" s="3" t="str">
        <x:v>W09</x:v>
      </x:c>
      <x:c r="B14" s="3" t="str">
        <x:v>2단계</x:v>
      </x:c>
      <x:c r="C14" s="3" t="str">
        <x:v>검증된 업무 범위 확대</x:v>
      </x:c>
      <x:c r="D14" s="17" t="n">
        <x:v>0.3</x:v>
      </x:c>
      <x:c r="E14" s="17" t="n">
        <x:v>0.5</x:v>
      </x:c>
      <x:c r="F14" s="17" t="n">
        <x:v>0</x:v>
      </x:c>
      <x:c r="G14" s="17" t="n">
        <x:v>0.2</x:v>
      </x:c>
      <x:c r="H14" s="17" t="n">
        <x:v>1</x:v>
      </x:c>
      <x:c r="I14" s="17" t="n">
        <x:v>0.5</x:v>
      </x:c>
      <x:c r="J14" s="17" t="n">
        <x:v>0</x:v>
      </x:c>
      <x:c r="K14" s="17" t="n">
        <x:v>0.5</x:v>
      </x:c>
      <x:c r="L14" s="17" t="n">
        <x:v>0</x:v>
      </x:c>
      <x:c r="M14" s="17" t="n">
        <x:v>0</x:v>
      </x:c>
      <x:c r="N14" s="18" t="n">
        <x:f>IF(COUNT(D14:M14)=10,SUM(D14:M14)*'가정과단가'!$B$9,"입력 누락")</x:f>
        <x:v>3</x:v>
      </x:c>
      <x:c r="O14" s="19" t="n">
        <x:f>IF(AND(COUNT(D14:M14)=10,COUNT('가정과단가'!$C$16:$C$25)=10),(D14*'가정과단가'!$C$16+E14*'가정과단가'!$C$17+F14*'가정과단가'!$C$18+G14*'가정과단가'!$C$19+H14*'가정과단가'!$C$20+I14*'가정과단가'!$C$21+J14*'가정과단가'!$C$22+K14*'가정과단가'!$C$23+L14*'가정과단가'!$C$24+M14*'가정과단가'!$C$25)*'가정과단가'!$B$9,"입력 누락")</x:f>
        <x:v>23307053.7</x:v>
      </x:c>
    </x:row>
    <x:row r="15" ht="48" customHeight="1">
      <x:c r="A15" s="3" t="str">
        <x:v>W10</x:v>
      </x:c>
      <x:c r="B15" s="3" t="str">
        <x:v>2단계</x:v>
      </x:c>
      <x:c r="C15" s="3" t="str">
        <x:v>2차 검수와 1차 서비스 운영</x:v>
      </x:c>
      <x:c r="D15" s="17" t="n">
        <x:v>0.4</x:v>
      </x:c>
      <x:c r="E15" s="17" t="n">
        <x:v>0</x:v>
      </x:c>
      <x:c r="F15" s="17" t="n">
        <x:v>0.2</x:v>
      </x:c>
      <x:c r="G15" s="17" t="n">
        <x:v>0</x:v>
      </x:c>
      <x:c r="H15" s="17" t="n">
        <x:v>0.5</x:v>
      </x:c>
      <x:c r="I15" s="17" t="n">
        <x:v>0.2</x:v>
      </x:c>
      <x:c r="J15" s="17" t="n">
        <x:v>0.5</x:v>
      </x:c>
      <x:c r="K15" s="17" t="n">
        <x:v>0.7</x:v>
      </x:c>
      <x:c r="L15" s="17" t="n">
        <x:v>0.3</x:v>
      </x:c>
      <x:c r="M15" s="17" t="n">
        <x:v>1</x:v>
      </x:c>
      <x:c r="N15" s="18" t="n">
        <x:f>IF(COUNT(D15:M15)=10,SUM(D15:M15)*'가정과단가'!$B$9,"입력 누락")</x:f>
        <x:v>3.8</x:v>
      </x:c>
      <x:c r="O15" s="19" t="n">
        <x:f>IF(AND(COUNT(D15:M15)=10,COUNT('가정과단가'!$C$16:$C$25)=10),(D15*'가정과단가'!$C$16+E15*'가정과단가'!$C$17+F15*'가정과단가'!$C$18+G15*'가정과단가'!$C$19+H15*'가정과단가'!$C$20+I15*'가정과단가'!$C$21+J15*'가정과단가'!$C$22+K15*'가정과단가'!$C$23+L15*'가정과단가'!$C$24+M15*'가정과단가'!$C$25)*'가정과단가'!$B$9,"입력 누락")</x:f>
        <x:v>33963143.8</x:v>
      </x:c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20"/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20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20"/>
    </x:row>
    <x:row r="19" ht="30" customHeight="1">
      <x:c r="A19" s="26"/>
      <x:c r="B19" s="26" t="str">
        <x:v>1단계</x:v>
      </x:c>
      <x:c r="C19" s="26" t="str">
        <x:v>단계 합계</x:v>
      </x:c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7" t="n">
        <x:f>IF(COUNT(N6:N15)=10,SUMIF(B6:B15,B19,N6:N15),"입력 누락")</x:f>
        <x:v>21.5</x:v>
      </x:c>
      <x:c r="O19" s="28" t="n">
        <x:f>IF(COUNT(O6:O15)=10,ROUND(SUMIF(B6:B15,B19,O6:O15),0),"입력 누락")</x:f>
        <x:v>175542116</x:v>
      </x:c>
    </x:row>
    <x:row r="20" ht="30" customHeight="1">
      <x:c r="A20" s="26"/>
      <x:c r="B20" s="26" t="str">
        <x:v>2단계</x:v>
      </x:c>
      <x:c r="C20" s="26" t="str">
        <x:v>단계 합계</x:v>
      </x:c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7" t="n">
        <x:f>IF(COUNT(N6:N15)=10,SUMIF(B6:B15,B20,N6:N15),"입력 누락")</x:f>
        <x:v>15.099999999999998</x:v>
      </x:c>
      <x:c r="O20" s="28" t="n">
        <x:f>IF(COUNT(O6:O15)=10,ROUND(SUMIF(B6:B15,B20,O6:O15),0),"입력 누락")</x:f>
        <x:v>123199533</x:v>
      </x:c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20"/>
    </x:row>
    <x:row r="22" ht="30" customHeight="1">
      <x:c r="A22" s="26"/>
      <x:c r="B22" s="26"/>
      <x:c r="C22" s="26" t="str">
        <x:v>전체 합계</x:v>
      </x:c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7" t="n">
        <x:f>IF(COUNT(N19:N20)=2,SUM(N19:N20),"입력 누락")</x:f>
        <x:v>36.599999999999994</x:v>
      </x:c>
      <x:c r="O22" s="28" t="n">
        <x:f>IF(COUNT(O19:O20)=2,SUM(O19:O20),"입력 누락")</x:f>
        <x:v>298741649</x:v>
      </x:c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</x:row>
    <x:row r="25" ht="30" customHeight="1">
      <x:c r="A25" s="3" t="str">
        <x:v>W01 SI · 두 업무의 계약 중복·원천 데이터·기존 기능과 담당자를 확인한다. 분석 1회.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</x:row>
    <x:row r="26" ht="30" customHeight="1">
      <x:c r="A26" s="3" t="str">
        <x:v>W02 AI+SI · 기보유 모델 호출·문서검색·로그 모듈을 설정·적응한다. 신규 모델 학습과 새 공통플랫폼 개발 제외.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</x:row>
    <x:row r="27" ht="30" customHeight="1">
      <x:c r="A27" s="3" t="str">
        <x:v>W03 SI · 기존 로그인에 연결하고 사례별 열람·수정·검토 상태를 구현한다. 외부 거래 실행 없음.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</x:row>
    <x:row r="28" ht="30" customHeight="1">
      <x:c r="A28" s="3" t="str">
        <x:v>W04 AI+SI · 결과 5종·코드 50개까지. 공식 CSV/JSON 또는 텍스트 입력으로 시작한다.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</x:row>
    <x:row r="29" ht="30" customHeight="1">
      <x:c r="A29" s="3" t="str">
        <x:v>W05 AI+SI · 기계식주차장 업무 1개·지적 10유형·증빙 1,000건까지. 텍스트만 비교한다.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</x:row>
    <x:row r="30" ht="30" customHeight="1">
      <x:c r="A30" s="3" t="str">
        <x:v>W06 SI · 최종 보존 사례 시험·권한·복구·보안·교육과 제한 운영 인수. 시험 인력 포함.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</x:row>
    <x:row r="31" ht="30" customHeight="1">
      <x:c r="A31" s="3" t="str">
        <x:v>W07 AI+SI · 공식 가용성 조회 계약 1개와 기존 예약 채널 연결. 예약 확정·취소 개발 제외.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</x:row>
    <x:row r="32" ht="30" customHeight="1">
      <x:c r="A32" s="3" t="str">
        <x:v>W08 SI · 결과·조치 시스템 각 1개의 읽기 전용 계약, 합계 2개. 상대 시스템 재구축 제외.</x:v>
      </x:c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</x:row>
    <x:row r="33" ht="30" customHeight="1">
      <x:c r="A33" s="3" t="str">
        <x:v>W09 AI+SI · X02 결과 10종·100코드, X04 지적 20유형·3,000증빙까지. 새로운 업무군 추가 없음.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</x:row>
    <x:row r="34" ht="30" customHeight="1">
      <x:c r="A34" s="3" t="str">
        <x:v>W10 SI · 확장 시험과 1차 서비스의 2차 기간 6개월 운영 포함. OPS 1 MM 중 0.8 MM을 중간 운영에 배정. 상주 운영 없음.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</x:row>
  </x:sheetData>
  <x:mergeCells>
    <x:mergeCell ref="A3:O3"/>
    <x:mergeCell ref="A25:O25"/>
    <x:mergeCell ref="A26:O26"/>
    <x:mergeCell ref="A27:O27"/>
    <x:mergeCell ref="A28:O28"/>
    <x:mergeCell ref="A29:O29"/>
    <x:mergeCell ref="A30:O30"/>
    <x:mergeCell ref="A31:O31"/>
    <x:mergeCell ref="A32:O32"/>
    <x:mergeCell ref="A33:O33"/>
    <x:mergeCell ref="A34:O3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31" hidden="0" customWidth="1"/>
    <x:col min="4" max="4" width="9" hidden="0" customWidth="1"/>
    <x:col min="5" max="5" width="10" hidden="0" customWidth="1"/>
    <x:col min="6" max="6" width="20" hidden="0" customWidth="1"/>
    <x:col min="7" max="7" width="22" hidden="0" customWidth="1"/>
    <x:col min="8" max="8" width="64" hidden="0" customWidth="1"/>
  </x:cols>
  <x:sheetData>
    <x:row r="1" ht="36" customHeight="1">
      <x:c r="A1" s="35" t="str">
        <x:v>도입비와 직접경비 충당액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3" t="str">
        <x:v>모든 금액은 견적 이전의 예산 가정입니다. 구매가격·무상 제공을 확정한 자료가 아닙니다.</x:v>
      </x:c>
      <x:c r="B3" s="3"/>
      <x:c r="C3" s="3"/>
      <x:c r="D3" s="3"/>
      <x:c r="E3" s="3"/>
      <x:c r="F3" s="3"/>
      <x:c r="G3" s="3"/>
      <x:c r="H3" s="3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32" customHeight="1">
      <x:c r="A5" s="6" t="str">
        <x:v>ID</x:v>
      </x:c>
      <x:c r="B5" s="6" t="str">
        <x:v>단계</x:v>
      </x:c>
      <x:c r="C5" s="6" t="str">
        <x:v>항목</x:v>
      </x:c>
      <x:c r="D5" s="6" t="str">
        <x:v>단위</x:v>
      </x:c>
      <x:c r="E5" s="6" t="str">
        <x:v>수량</x:v>
      </x:c>
      <x:c r="F5" s="6" t="str">
        <x:v>단가 원</x:v>
      </x:c>
      <x:c r="G5" s="6" t="str">
        <x:v>금액 원</x:v>
      </x:c>
      <x:c r="H5" s="6" t="str">
        <x:v>확인 사항</x:v>
      </x:c>
    </x:row>
    <x:row r="6" ht="62" customHeight="1">
      <x:c r="A6" s="3" t="str">
        <x:v>D01</x:v>
      </x:c>
      <x:c r="B6" s="3" t="str">
        <x:v>1단계</x:v>
      </x:c>
      <x:c r="C6" s="3" t="str">
        <x:v>기존 환경 저장 백업 보완</x:v>
      </x:c>
      <x:c r="D6" s="3" t="str">
        <x:v>식</x:v>
      </x:c>
      <x:c r="E6" s="8" t="n">
        <x:v>1</x:v>
      </x:c>
      <x:c r="F6" s="11" t="n">
        <x:v>30000000</x:v>
      </x:c>
      <x:c r="G6" s="22" t="n">
        <x:f>IF(COUNT(E6:F6)=2,ROUND(E6*F6,0),"견적 입력 누락")</x:f>
        <x:v>30000000</x:v>
      </x:c>
      <x:c r="H6" s="3" t="str">
        <x:v>견적 전 충당액 · 기존 GPU 추론 서버·망 제공 조건. 3천만 원은 저장·백업 등 보완액이며 신규 GPU 서버 가격이 아니다.</x:v>
      </x:c>
    </x:row>
    <x:row r="7" ht="62" customHeight="1">
      <x:c r="A7" s="3" t="str">
        <x:v>D02</x:v>
      </x:c>
      <x:c r="B7" s="3" t="str">
        <x:v>1단계</x:v>
      </x:c>
      <x:c r="C7" s="3" t="str">
        <x:v>CCK 적용 이용권</x:v>
      </x:c>
      <x:c r="D7" s="3" t="str">
        <x:v>식</x:v>
      </x:c>
      <x:c r="E7" s="8" t="n">
        <x:v>1</x:v>
      </x:c>
      <x:c r="F7" s="11" t="n">
        <x:v>40000000</x:v>
      </x:c>
      <x:c r="G7" s="22" t="n">
        <x:f>IF(COUNT(E7:F7)=2,ROUND(E7*F7,0),"견적 입력 누락")</x:f>
        <x:v>40000000</x:v>
      </x:c>
      <x:c r="H7" s="3" t="str">
        <x:v>견적 전 충당액 · 재사용 권리와 배포 범위 확인. 포함 기술지원과 개발 공수 중복 제거.</x:v>
      </x:c>
    </x:row>
    <x:row r="8" ht="62" customHeight="1">
      <x:c r="A8" s="3" t="str">
        <x:v>D03</x:v>
      </x:c>
      <x:c r="B8" s="3" t="str">
        <x:v>1단계</x:v>
      </x:c>
      <x:c r="C8" s="3" t="str">
        <x:v>업무 전문가 검수</x:v>
      </x:c>
      <x:c r="D8" s="3" t="str">
        <x:v>일</x:v>
      </x:c>
      <x:c r="E8" s="8" t="n">
        <x:v>20</x:v>
      </x:c>
      <x:c r="F8" s="11" t="n">
        <x:v>500000</x:v>
      </x:c>
      <x:c r="G8" s="22" t="n">
        <x:f>IF(COUNT(E8:F8)=2,ROUND(E8*F8,0),"견적 입력 누락")</x:f>
        <x:v>10000000</x:v>
      </x:c>
      <x:c r="H8" s="3" t="str">
        <x:v>견적 전 가정 · 검수 사례·기준 확인. 개발자 QA와 별도 역할.</x:v>
      </x:c>
    </x:row>
    <x:row r="9" ht="62" customHeight="1">
      <x:c r="A9" s="3" t="str">
        <x:v>D04</x:v>
      </x:c>
      <x:c r="B9" s="3" t="str">
        <x:v>1단계</x:v>
      </x:c>
      <x:c r="C9" s="3" t="str">
        <x:v>독립 보안 점검</x:v>
      </x:c>
      <x:c r="D9" s="3" t="str">
        <x:v>식</x:v>
      </x:c>
      <x:c r="E9" s="8" t="n">
        <x:v>1</x:v>
      </x:c>
      <x:c r="F9" s="11" t="n">
        <x:v>12000000</x:v>
      </x:c>
      <x:c r="G9" s="22" t="n">
        <x:f>IF(COUNT(E9:F9)=2,ROUND(E9*F9,0),"견적 입력 누락")</x:f>
        <x:v>12000000</x:v>
      </x:c>
      <x:c r="H9" s="3" t="str">
        <x:v>견적 전 충당액 · 법정 감리·영향평가와 별개.</x:v>
      </x:c>
    </x:row>
    <x:row r="10" ht="62" customHeight="1">
      <x:c r="A10" s="3" t="str">
        <x:v>D05</x:v>
      </x:c>
      <x:c r="B10" s="3" t="str">
        <x:v>1단계</x:v>
      </x:c>
      <x:c r="C10" s="3" t="str">
        <x:v>현장 조사와 교육 경비</x:v>
      </x:c>
      <x:c r="D10" s="3" t="str">
        <x:v>식</x:v>
      </x:c>
      <x:c r="E10" s="8" t="n">
        <x:v>1</x:v>
      </x:c>
      <x:c r="F10" s="11" t="n">
        <x:v>8000000</x:v>
      </x:c>
      <x:c r="G10" s="22" t="n">
        <x:f>IF(COUNT(E10:F10)=2,ROUND(E10*F10,0),"견적 입력 누락")</x:f>
        <x:v>8000000</x:v>
      </x:c>
      <x:c r="H10" s="3" t="str">
        <x:v>예산 가정 · 여비·교육 운영 경비. 강사 개발 공수 중복 배제.</x:v>
      </x:c>
    </x:row>
    <x:row r="11" ht="62" customHeight="1">
      <x:c r="A11" s="3" t="str">
        <x:v>D06</x:v>
      </x:c>
      <x:c r="B11" s="3" t="str">
        <x:v>2단계</x:v>
      </x:c>
      <x:c r="C11" s="3" t="str">
        <x:v>업무 확장 이용권</x:v>
      </x:c>
      <x:c r="D11" s="3" t="str">
        <x:v>식</x:v>
      </x:c>
      <x:c r="E11" s="8" t="n">
        <x:v>1</x:v>
      </x:c>
      <x:c r="F11" s="11" t="n">
        <x:v>15000000</x:v>
      </x:c>
      <x:c r="G11" s="22" t="n">
        <x:f>IF(COUNT(E11:F11)=2,ROUND(E11*F11,0),"견적 입력 누락")</x:f>
        <x:v>15000000</x:v>
      </x:c>
      <x:c r="H11" s="3" t="str">
        <x:v>견적 전 충당액 · 같은 제품 설치비를 재구매하지 않는다. 업무 확장 과금이 없으면 감액.</x:v>
      </x:c>
    </x:row>
    <x:row r="12" ht="62" customHeight="1">
      <x:c r="A12" s="3" t="str">
        <x:v>D07</x:v>
      </x:c>
      <x:c r="B12" s="3" t="str">
        <x:v>2단계</x:v>
      </x:c>
      <x:c r="C12" s="3" t="str">
        <x:v>예약 조회 운영사 협조</x:v>
      </x:c>
      <x:c r="D12" s="3" t="str">
        <x:v>식</x:v>
      </x:c>
      <x:c r="E12" s="8" t="n">
        <x:v>1</x:v>
      </x:c>
      <x:c r="F12" s="11" t="n">
        <x:v>10000000</x:v>
      </x:c>
      <x:c r="G12" s="22" t="n">
        <x:f>IF(COUNT(E12:F12)=2,ROUND(E12*F12,0),"견적 입력 누락")</x:f>
        <x:v>10000000</x:v>
      </x:c>
      <x:c r="H12" s="3" t="str">
        <x:v>견적 전 충당액 · 공식 읽기 계약 1개, 제공 여부 미확인.</x:v>
      </x:c>
    </x:row>
    <x:row r="13" ht="62" customHeight="1">
      <x:c r="A13" s="3" t="str">
        <x:v>D08</x:v>
      </x:c>
      <x:c r="B13" s="3" t="str">
        <x:v>2단계</x:v>
      </x:c>
      <x:c r="C13" s="3" t="str">
        <x:v>결과 조치 운영사 협조</x:v>
      </x:c>
      <x:c r="D13" s="3" t="str">
        <x:v>식</x:v>
      </x:c>
      <x:c r="E13" s="8" t="n">
        <x:v>2</x:v>
      </x:c>
      <x:c r="F13" s="11" t="n">
        <x:v>10000000</x:v>
      </x:c>
      <x:c r="G13" s="22" t="n">
        <x:f>IF(COUNT(E13:F13)=2,ROUND(E13*F13,0),"견적 입력 누락")</x:f>
        <x:v>20000000</x:v>
      </x:c>
      <x:c r="H13" s="3" t="str">
        <x:v>견적 전 충당액 · X02·X04 읽기 계약 각 1개. CCK 어댑터 공수와 상대 시스템 수정 비용 구별.</x:v>
      </x:c>
    </x:row>
    <x:row r="14" ht="62" customHeight="1">
      <x:c r="A14" s="3" t="str">
        <x:v>D09</x:v>
      </x:c>
      <x:c r="B14" s="3" t="str">
        <x:v>2단계</x:v>
      </x:c>
      <x:c r="C14" s="3" t="str">
        <x:v>업무 전문가 검수</x:v>
      </x:c>
      <x:c r="D14" s="3" t="str">
        <x:v>일</x:v>
      </x:c>
      <x:c r="E14" s="8" t="n">
        <x:v>24</x:v>
      </x:c>
      <x:c r="F14" s="11" t="n">
        <x:v>500000</x:v>
      </x:c>
      <x:c r="G14" s="22" t="n">
        <x:f>IF(COUNT(E14:F14)=2,ROUND(E14*F14,0),"견적 입력 누락")</x:f>
        <x:v>12000000</x:v>
      </x:c>
      <x:c r="H14" s="3" t="str">
        <x:v>견적 전 가정 · 확장 사례 검수와 평가 기준 확인.</x:v>
      </x:c>
    </x:row>
    <x:row r="15" ht="62" customHeight="1">
      <x:c r="A15" s="3" t="str">
        <x:v>D10</x:v>
      </x:c>
      <x:c r="B15" s="3" t="str">
        <x:v>2단계</x:v>
      </x:c>
      <x:c r="C15" s="3" t="str">
        <x:v>확장 보안 점검</x:v>
      </x:c>
      <x:c r="D15" s="3" t="str">
        <x:v>식</x:v>
      </x:c>
      <x:c r="E15" s="8" t="n">
        <x:v>1</x:v>
      </x:c>
      <x:c r="F15" s="11" t="n">
        <x:v>10000000</x:v>
      </x:c>
      <x:c r="G15" s="22" t="n">
        <x:f>IF(COUNT(E15:F15)=2,ROUND(E15*F15,0),"견적 입력 누락")</x:f>
        <x:v>10000000</x:v>
      </x:c>
      <x:c r="H15" s="3" t="str">
        <x:v>견적 전 충당액 · 추가 조회·공개 채널 경계 점검.</x:v>
      </x:c>
    </x:row>
    <x:row r="16" ht="62" customHeight="1">
      <x:c r="A16" s="3" t="str">
        <x:v>D11</x:v>
      </x:c>
      <x:c r="B16" s="3" t="str">
        <x:v>2단계</x:v>
      </x:c>
      <x:c r="C16" s="3" t="str">
        <x:v>현장 조사와 교육 경비</x:v>
      </x:c>
      <x:c r="D16" s="3" t="str">
        <x:v>식</x:v>
      </x:c>
      <x:c r="E16" s="8" t="n">
        <x:v>1</x:v>
      </x:c>
      <x:c r="F16" s="11" t="n">
        <x:v>5000000</x:v>
      </x:c>
      <x:c r="G16" s="22" t="n">
        <x:f>IF(COUNT(E16:F16)=2,ROUND(E16*F16,0),"견적 입력 누락")</x:f>
        <x:v>5000000</x:v>
      </x:c>
      <x:c r="H16" s="3" t="str">
        <x:v>예산 가정 · 확대 적용 현장 조사 및 교육 경비.</x:v>
      </x:c>
    </x:row>
    <x:row r="17" ht="62" customHeight="1">
      <x:c r="A17" s="3" t="str">
        <x:v>D12</x:v>
      </x:c>
      <x:c r="B17" s="3" t="str">
        <x:v>2단계</x:v>
      </x:c>
      <x:c r="C17" s="3" t="str">
        <x:v>추가 GPU 서버 구매</x:v>
      </x:c>
      <x:c r="D17" s="3" t="str">
        <x:v>식</x:v>
      </x:c>
      <x:c r="E17" s="8" t="n">
        <x:v>0</x:v>
      </x:c>
      <x:c r="F17" s="11" t="n">
        <x:v>0</x:v>
      </x:c>
      <x:c r="G17" s="22" t="n">
        <x:f>IF(COUNT(E17:F17)=2,ROUND(E17*F17,0),"견적 입력 누락")</x:f>
        <x:v>0</x:v>
      </x:c>
      <x:c r="H17" s="3" t="str">
        <x:v>미포함 · 기존 자원 여유가 입증되어야 0원 제외가 성립한다. 신규 구매 필요 시 별도 견적·범위 재조정.</x:v>
      </x:c>
    </x:row>
    <x:row r="18" ht="25" customHeight="1">
      <x:c r="A18" s="3"/>
      <x:c r="B18" s="3"/>
      <x:c r="C18" s="3"/>
      <x:c r="D18" s="3"/>
      <x:c r="E18" s="3"/>
      <x:c r="F18" s="20"/>
      <x:c r="G18" s="20"/>
      <x:c r="H18" s="3"/>
    </x:row>
    <x:row r="19" ht="25" customHeight="1">
      <x:c r="A19" s="3"/>
      <x:c r="B19" s="3"/>
      <x:c r="C19" s="3"/>
      <x:c r="D19" s="3"/>
      <x:c r="E19" s="3"/>
      <x:c r="F19" s="20"/>
      <x:c r="G19" s="20"/>
      <x:c r="H19" s="3"/>
    </x:row>
    <x:row r="20" ht="30" customHeight="1">
      <x:c r="A20" s="26"/>
      <x:c r="B20" s="26" t="str">
        <x:v>1단계</x:v>
      </x:c>
      <x:c r="C20" s="26" t="str">
        <x:v>합계</x:v>
      </x:c>
      <x:c r="D20" s="26"/>
      <x:c r="E20" s="26"/>
      <x:c r="F20" s="30"/>
      <x:c r="G20" s="28" t="n">
        <x:f>IF(COUNT(G6:G17)=12,SUMIF(B6:B17,B20,G6:G17),"입력 누락")</x:f>
        <x:v>100000000</x:v>
      </x:c>
      <x:c r="H20" s="26"/>
    </x:row>
    <x:row r="21" ht="30" customHeight="1">
      <x:c r="A21" s="26"/>
      <x:c r="B21" s="26" t="str">
        <x:v>2단계</x:v>
      </x:c>
      <x:c r="C21" s="26" t="str">
        <x:v>합계</x:v>
      </x:c>
      <x:c r="D21" s="26"/>
      <x:c r="E21" s="26"/>
      <x:c r="F21" s="30"/>
      <x:c r="G21" s="28" t="n">
        <x:f>IF(COUNT(G6:G17)=12,SUMIF(B6:B17,B21,G6:G17),"입력 누락")</x:f>
        <x:v>72000000</x:v>
      </x:c>
      <x:c r="H21" s="26"/>
    </x:row>
    <x:row r="22" ht="25" customHeight="1">
      <x:c r="A22" s="3"/>
      <x:c r="B22" s="3"/>
      <x:c r="C22" s="3"/>
      <x:c r="D22" s="3"/>
      <x:c r="E22" s="3"/>
      <x:c r="F22" s="20"/>
      <x:c r="G22" s="20"/>
      <x:c r="H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</x:row>
    <x:row r="24" ht="44" customHeight="1">
      <x:c r="A24" s="3" t="str">
        <x:v>감리·개인정보 영향평가·별도 심의·추가 네트워크/센터 구축·TS 자체 인력은 미포함. 적용과 견적 확인 후 별도 예산 추가.</x:v>
      </x:c>
      <x:c r="B24" s="3"/>
      <x:c r="C24" s="3"/>
      <x:c r="D24" s="3"/>
      <x:c r="E24" s="3"/>
      <x:c r="F24" s="3"/>
      <x:c r="G24" s="3"/>
      <x:c r="H24" s="3"/>
    </x:row>
    <x:row r="25" ht="42" customHeight="1">
      <x:c r="A25" s="3" t="str">
        <x:v>포함 지원과 개발 공수 중복을 제거합니다. 기존 GPU 제공 조건. 신규 GPU 구매 필요 시 견적 반영 후 범위 재조정.</x:v>
      </x:c>
      <x:c r="B25" s="3"/>
      <x:c r="C25" s="3"/>
      <x:c r="D25" s="3"/>
      <x:c r="E25" s="3"/>
      <x:c r="F25" s="3"/>
      <x:c r="G25" s="3"/>
      <x:c r="H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</x:row>
  </x:sheetData>
  <x:mergeCells>
    <x:mergeCell ref="A3:H3"/>
    <x:mergeCell ref="A24:H24"/>
    <x:mergeCell ref="A25:H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15" hidden="0" customWidth="1"/>
    <x:col min="4" max="4" width="20" hidden="0" customWidth="1"/>
    <x:col min="5" max="5" width="23" hidden="0" customWidth="1"/>
    <x:col min="6" max="6" width="30" hidden="0" customWidth="1"/>
    <x:col min="7" max="7" width="52" hidden="0" customWidth="1"/>
  </x:cols>
  <x:sheetData>
    <x:row r="1" ht="36" customHeight="1">
      <x:c r="A1" s="35" t="str">
        <x:v>전체 도입 후 정상 운영 12개월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3" ht="25" customHeight="1">
      <x:c r="A3" s="3" t="str">
        <x:v>구축 검수 후 증분 운영비 · 무상 하자보수·신규 기능개발·24시간 전담 인력 제외 · 입력 기간에 비례</x:v>
      </x:c>
      <x:c r="B3" s="3"/>
      <x:c r="C3" s="3"/>
      <x:c r="D3" s="3"/>
      <x:c r="E3" s="3"/>
      <x:c r="F3" s="3"/>
      <x:c r="G3" s="3"/>
    </x:row>
    <x:row r="4" ht="25" customHeight="1">
      <x:c r="A4" s="3"/>
      <x:c r="B4" s="3"/>
      <x:c r="C4" s="3"/>
      <x:c r="D4" s="3"/>
      <x:c r="E4" s="3"/>
      <x:c r="F4" s="3"/>
      <x:c r="G4" s="3"/>
    </x:row>
    <x:row r="5" ht="32" customHeight="1">
      <x:c r="A5" s="6" t="str">
        <x:v>업무</x:v>
      </x:c>
      <x:c r="B5" s="6" t="str">
        <x:v>직무</x:v>
      </x:c>
      <x:c r="C5" s="6" t="str">
        <x:v>연간 MM</x:v>
      </x:c>
      <x:c r="D5" s="6" t="str">
        <x:v>월 임금 원</x:v>
      </x:c>
      <x:c r="E5" s="6" t="str">
        <x:v>운영 인건비 원</x:v>
      </x:c>
      <x:c r="F5" s="6" t="str">
        <x:v>단가 근거</x:v>
      </x:c>
      <x:c r="G5" s="6" t="str">
        <x:v>범위</x:v>
      </x:c>
    </x:row>
    <x:row r="6" ht="43" customHeight="1">
      <x:c r="A6" s="3" t="str">
        <x:v>운영 관리</x:v>
      </x:c>
      <x:c r="B6" s="3" t="str">
        <x:v>IT PM</x:v>
      </x:c>
      <x:c r="C6" s="17" t="n">
        <x:v>0.3</x:v>
      </x:c>
      <x:c r="D6" s="19" t="n">
        <x:f>'가정과단가'!C16</x:f>
        <x:v>10086804</x:v>
      </x:c>
      <x:c r="E6" s="19" t="n">
        <x:f>IF(COUNT(C6:D6)=2,C6*D6*'가정과단가'!$B$12/12,"입력 누락")</x:f>
        <x:v>3026041.1999999997</x:v>
      </x:c>
      <x:c r="F6" s="3" t="str">
        <x:v>S01 월 임금</x:v>
      </x:c>
      <x:c r="G6" s="3" t="str">
        <x:v>기존 TS 기반 운영과 문의창구 제공 조건. CCK 부분 지원·비하자 운영만.</x:v>
      </x:c>
    </x:row>
    <x:row r="7" ht="43" customHeight="1">
      <x:c r="A7" s="3" t="str">
        <x:v>서비스와 백업 운영</x:v>
      </x:c>
      <x:c r="B7" s="3" t="str">
        <x:v>정보시스템운용자</x:v>
      </x:c>
      <x:c r="C7" s="17" t="n">
        <x:v>1.2</x:v>
      </x:c>
      <x:c r="D7" s="19" t="n">
        <x:f>'가정과단가'!C25</x:f>
        <x:v>10649117</x:v>
      </x:c>
      <x:c r="E7" s="19" t="n">
        <x:f>IF(COUNT(C7:D7)=2,C7*D7*'가정과단가'!$B$12/12,"입력 누락")</x:f>
        <x:v>12778940.4</x:v>
      </x:c>
      <x:c r="F7" s="3" t="str">
        <x:v>S01 월 임금</x:v>
      </x:c>
      <x:c r="G7" s="3" t="str">
        <x:v>기존 TS 기반 운영과 문의창구 제공 조건. CCK 부분 지원·비하자 운영만.</x:v>
      </x:c>
    </x:row>
    <x:row r="8" ht="43" customHeight="1">
      <x:c r="A8" s="3" t="str">
        <x:v>비하자 요청과 규칙 반영</x:v>
      </x:c>
      <x:c r="B8" s="3" t="str">
        <x:v>응용SW개발자</x:v>
      </x:c>
      <x:c r="C8" s="17" t="n">
        <x:v>1.2</x:v>
      </x:c>
      <x:c r="D8" s="19" t="n">
        <x:f>'가정과단가'!C20</x:f>
        <x:v>7754124</x:v>
      </x:c>
      <x:c r="E8" s="19" t="n">
        <x:f>IF(COUNT(C8:D8)=2,C8*D8*'가정과단가'!$B$12/12,"입력 누락")</x:f>
        <x:v>9304948.799999999</x:v>
      </x:c>
      <x:c r="F8" s="3" t="str">
        <x:v>S01 월 임금</x:v>
      </x:c>
      <x:c r="G8" s="3" t="str">
        <x:v>기존 TS 기반 운영과 문의창구 제공 조건. CCK 부분 지원·비하자 운영만.</x:v>
      </x:c>
    </x:row>
    <x:row r="9" ht="43" customHeight="1">
      <x:c r="A9" s="3" t="str">
        <x:v>근거 데이터 갱신</x:v>
      </x:c>
      <x:c r="B9" s="3" t="str">
        <x:v>데이터분석가</x:v>
      </x:c>
      <x:c r="C9" s="17" t="n">
        <x:v>0.3</x:v>
      </x:c>
      <x:c r="D9" s="19" t="n">
        <x:f>'가정과단가'!C21</x:f>
        <x:v>8499309</x:v>
      </x:c>
      <x:c r="E9" s="19" t="n">
        <x:f>IF(COUNT(C9:D9)=2,C9*D9*'가정과단가'!$B$12/12,"입력 누락")</x:f>
        <x:v>2549792.6999999997</x:v>
      </x:c>
      <x:c r="F9" s="3" t="str">
        <x:v>S01 월 임금</x:v>
      </x:c>
      <x:c r="G9" s="3" t="str">
        <x:v>기존 TS 기반 운영과 문의창구 제공 조건. CCK 부분 지원·비하자 운영만.</x:v>
      </x:c>
    </x:row>
    <x:row r="10" ht="43" customHeight="1">
      <x:c r="A10" s="3" t="str">
        <x:v>회귀 품질 검수</x:v>
      </x:c>
      <x:c r="B10" s="3" t="str">
        <x:v>IT품질관리자</x:v>
      </x:c>
      <x:c r="C10" s="17" t="n">
        <x:v>0.3</x:v>
      </x:c>
      <x:c r="D10" s="19" t="n">
        <x:f>'가정과단가'!C22</x:f>
        <x:v>11042071</x:v>
      </x:c>
      <x:c r="E10" s="19" t="n">
        <x:f>IF(COUNT(C10:D10)=2,C10*D10*'가정과단가'!$B$12/12,"입력 누락")</x:f>
        <x:v>3312621.2999999993</x:v>
      </x:c>
      <x:c r="F10" s="3" t="str">
        <x:v>S01 월 임금</x:v>
      </x:c>
      <x:c r="G10" s="3" t="str">
        <x:v>기존 TS 기반 운영과 문의창구 제공 조건. CCK 부분 지원·비하자 운영만.</x:v>
      </x:c>
    </x:row>
    <x:row r="11" ht="43" customHeight="1">
      <x:c r="A11" s="3" t="str">
        <x:v>권한과 보안 점검</x:v>
      </x:c>
      <x:c r="B11" s="3" t="str">
        <x:v>정보보안전문가</x:v>
      </x:c>
      <x:c r="C11" s="17" t="n">
        <x:v>0.3</x:v>
      </x:c>
      <x:c r="D11" s="19" t="n">
        <x:f>'가정과단가'!C24</x:f>
        <x:v>10411680</x:v>
      </x:c>
      <x:c r="E11" s="19" t="n">
        <x:f>IF(COUNT(C11:D11)=2,C11*D11*'가정과단가'!$B$12/12,"입력 누락")</x:f>
        <x:v>3123504</x:v>
      </x:c>
      <x:c r="F11" s="3" t="str">
        <x:v>S01 월 임금</x:v>
      </x:c>
      <x:c r="G11" s="3" t="str">
        <x:v>기존 TS 기반 운영과 문의창구 제공 조건. CCK 부분 지원·비하자 운영만.</x:v>
      </x:c>
    </x:row>
    <x:row r="12" ht="25" customHeight="1">
      <x:c r="A12" s="3"/>
      <x:c r="B12" s="3"/>
      <x:c r="C12" s="3"/>
      <x:c r="D12" s="20"/>
      <x:c r="E12" s="20"/>
      <x:c r="F12" s="3"/>
      <x:c r="G12" s="3"/>
    </x:row>
    <x:row r="13" ht="25" customHeight="1">
      <x:c r="A13" s="3"/>
      <x:c r="B13" s="3"/>
      <x:c r="C13" s="3"/>
      <x:c r="D13" s="20"/>
      <x:c r="E13" s="20"/>
      <x:c r="F13" s="3"/>
      <x:c r="G13" s="3"/>
    </x:row>
    <x:row r="14" ht="32" customHeight="1">
      <x:c r="A14" s="6" t="str">
        <x:v>운영 직접경비</x:v>
      </x:c>
      <x:c r="B14" s="6" t="str">
        <x:v>수량 단위</x:v>
      </x:c>
      <x:c r="C14" s="6" t="str">
        <x:v>연간 수량</x:v>
      </x:c>
      <x:c r="D14" s="32" t="str">
        <x:v>단가 원</x:v>
      </x:c>
      <x:c r="E14" s="32" t="str">
        <x:v>비용 원</x:v>
      </x:c>
      <x:c r="F14" s="6" t="str">
        <x:v>성격</x:v>
      </x:c>
      <x:c r="G14" s="6" t="str">
        <x:v>확인 사항</x:v>
      </x:c>
    </x:row>
    <x:row r="15" ht="47" customHeight="1">
      <x:c r="A15" s="3" t="str">
        <x:v>이용권 지원 갱신 충당액</x:v>
      </x:c>
      <x:c r="B15" s="3" t="str">
        <x:v>식</x:v>
      </x:c>
      <x:c r="C15" s="8" t="n">
        <x:v>1</x:v>
      </x:c>
      <x:c r="D15" s="11" t="n">
        <x:v>6000000</x:v>
      </x:c>
      <x:c r="E15" s="19" t="n">
        <x:f>IF(COUNT(C15:D15)=2,ROUND(C15*D15*'가정과단가'!$B$12/12,0),"입력 누락")</x:f>
        <x:v>6000000</x:v>
      </x:c>
      <x:c r="F15" s="3" t="str">
        <x:v>예산 충당액</x:v>
      </x:c>
      <x:c r="G15" s="3" t="str">
        <x:v>실제 포함 지원·무상 기간 대조</x:v>
      </x:c>
    </x:row>
    <x:row r="16" ht="47" customHeight="1">
      <x:c r="A16" s="3" t="str">
        <x:v>증설 장비 보증 지원</x:v>
      </x:c>
      <x:c r="B16" s="3" t="str">
        <x:v>식</x:v>
      </x:c>
      <x:c r="C16" s="8" t="n">
        <x:v>1</x:v>
      </x:c>
      <x:c r="D16" s="11" t="n">
        <x:v>2000000</x:v>
      </x:c>
      <x:c r="E16" s="19" t="n">
        <x:f>IF(COUNT(C16:D16)=2,ROUND(C16*D16*'가정과단가'!$B$12/12,0),"입력 누락")</x:f>
        <x:v>2000000</x:v>
      </x:c>
      <x:c r="F16" s="3" t="str">
        <x:v>예산 충당액</x:v>
      </x:c>
      <x:c r="G16" s="3" t="str">
        <x:v>기존 GPU 운영은 TS 기반 운영 범위</x:v>
      </x:c>
    </x:row>
    <x:row r="17" ht="47" customHeight="1">
      <x:c r="A17" s="3" t="str">
        <x:v>기준 전문가 검수</x:v>
      </x:c>
      <x:c r="B17" s="3" t="str">
        <x:v>일</x:v>
      </x:c>
      <x:c r="C17" s="8" t="n">
        <x:v>4</x:v>
      </x:c>
      <x:c r="D17" s="11" t="n">
        <x:v>500000</x:v>
      </x:c>
      <x:c r="E17" s="19" t="n">
        <x:f>IF(COUNT(C17:D17)=2,ROUND(C17*D17*'가정과단가'!$B$12/12,0),"입력 누락")</x:f>
        <x:v>2000000</x:v>
      </x:c>
      <x:c r="F17" s="3" t="str">
        <x:v>예산 충당액</x:v>
      </x:c>
      <x:c r="G17" s="3" t="str">
        <x:v>연간 4일 추가 검수</x:v>
      </x:c>
    </x:row>
    <x:row r="18" ht="47" customHeight="1">
      <x:c r="A18" s="3" t="str">
        <x:v>백업 자원 증분</x:v>
      </x:c>
      <x:c r="B18" s="3" t="str">
        <x:v>개월</x:v>
      </x:c>
      <x:c r="C18" s="8" t="n">
        <x:v>12</x:v>
      </x:c>
      <x:c r="D18" s="11" t="n">
        <x:v>166667</x:v>
      </x:c>
      <x:c r="E18" s="19" t="n">
        <x:f>IF(COUNT(C18:D18)=2,ROUND(C18*D18*'가정과단가'!$B$12/12,0),"입력 누락")</x:f>
        <x:v>2000004</x:v>
      </x:c>
      <x:c r="F18" s="3" t="str">
        <x:v>예산 충당액</x:v>
      </x:c>
      <x:c r="G18" s="3" t="str">
        <x:v>월 단가 가정. 기존 센터·인력 비용 제외</x:v>
      </x:c>
    </x:row>
    <x:row r="19" ht="25" customHeight="1">
      <x:c r="A19" s="3"/>
      <x:c r="B19" s="3"/>
      <x:c r="C19" s="3"/>
      <x:c r="D19" s="20"/>
      <x:c r="E19" s="20"/>
      <x:c r="F19" s="3"/>
      <x:c r="G19" s="3"/>
    </x:row>
    <x:row r="20" ht="25" customHeight="1">
      <x:c r="A20" s="3"/>
      <x:c r="B20" s="3"/>
      <x:c r="C20" s="3"/>
      <x:c r="D20" s="20"/>
      <x:c r="E20" s="20"/>
      <x:c r="F20" s="3"/>
      <x:c r="G20" s="3"/>
    </x:row>
    <x:row r="21" ht="25" customHeight="1">
      <x:c r="A21" s="3"/>
      <x:c r="B21" s="3"/>
      <x:c r="C21" s="3"/>
      <x:c r="D21" s="20"/>
      <x:c r="E21" s="20"/>
      <x:c r="F21" s="3"/>
      <x:c r="G21" s="3"/>
    </x:row>
    <x:row r="22" ht="25" customHeight="1">
      <x:c r="A22" s="3" t="str">
        <x:v>직접인건비</x:v>
      </x:c>
      <x:c r="B22" s="3"/>
      <x:c r="C22" s="3"/>
      <x:c r="D22" s="20"/>
      <x:c r="E22" s="22" t="n">
        <x:f>IF(COUNT(E6:E11)=6,ROUND(SUM(E6:E11),0),"입력 누락")</x:f>
        <x:v>34095848</x:v>
      </x:c>
      <x:c r="F22" s="3"/>
      <x:c r="G22" s="3"/>
    </x:row>
    <x:row r="23" ht="25" customHeight="1">
      <x:c r="A23" s="3" t="str">
        <x:v>제경비</x:v>
      </x:c>
      <x:c r="B23" s="3"/>
      <x:c r="C23" s="3"/>
      <x:c r="D23" s="20"/>
      <x:c r="E23" s="19" t="n">
        <x:f>ROUND(E22*'가정과단가'!$B$5,0)</x:f>
        <x:v>49098021</x:v>
      </x:c>
      <x:c r="F23" s="3"/>
      <x:c r="G23" s="3"/>
    </x:row>
    <x:row r="24" ht="25" customHeight="1">
      <x:c r="A24" s="3" t="str">
        <x:v>기술료</x:v>
      </x:c>
      <x:c r="B24" s="3"/>
      <x:c r="C24" s="3"/>
      <x:c r="D24" s="20"/>
      <x:c r="E24" s="19" t="n">
        <x:f>ROUND(SUM(E22:E23)*'가정과단가'!$B$6,0)</x:f>
        <x:v>16638774</x:v>
      </x:c>
      <x:c r="F24" s="3"/>
      <x:c r="G24" s="3"/>
    </x:row>
    <x:row r="25" ht="25" customHeight="1">
      <x:c r="A25" s="3" t="str">
        <x:v>운영 직접경비</x:v>
      </x:c>
      <x:c r="B25" s="3"/>
      <x:c r="C25" s="3"/>
      <x:c r="D25" s="20"/>
      <x:c r="E25" s="22" t="n">
        <x:f>IF(COUNT(E15:E18)=4,SUM(E15:E18),"입력 누락")</x:f>
        <x:v>12000004</x:v>
      </x:c>
      <x:c r="F25" s="3"/>
      <x:c r="G25" s="3"/>
    </x:row>
    <x:row r="26" ht="30" customHeight="1">
      <x:c r="A26" s="26" t="str">
        <x:v>공급가액</x:v>
      </x:c>
      <x:c r="B26" s="26"/>
      <x:c r="C26" s="26"/>
      <x:c r="D26" s="30"/>
      <x:c r="E26" s="28" t="n">
        <x:f>IF(COUNT(E22:E25)=4,SUM(E22:E25),"입력 누락")</x:f>
        <x:v>111832647</x:v>
      </x:c>
      <x:c r="F26" s="26"/>
      <x:c r="G26" s="26"/>
    </x:row>
    <x:row r="27" ht="25" customHeight="1">
      <x:c r="A27" s="3" t="str">
        <x:v>VAT</x:v>
      </x:c>
      <x:c r="B27" s="3"/>
      <x:c r="C27" s="3"/>
      <x:c r="D27" s="20"/>
      <x:c r="E27" s="19" t="n">
        <x:f>ROUND(E26*'가정과단가'!$B$7,0)</x:f>
        <x:v>11183265</x:v>
      </x:c>
      <x:c r="F27" s="3"/>
      <x:c r="G27" s="3"/>
    </x:row>
    <x:row r="28" ht="30" customHeight="1">
      <x:c r="A28" s="26" t="str">
        <x:v>운영 총액</x:v>
      </x:c>
      <x:c r="B28" s="26"/>
      <x:c r="C28" s="26"/>
      <x:c r="D28" s="30"/>
      <x:c r="E28" s="36" t="n">
        <x:f>IF(AND(COUNT('가정과단가'!B5:B7)=3,MIN('가정과단가'!B5:B7)&gt;=0,COUNT('가정과단가'!B12)=1,'가정과단가'!B12&gt;0,COUNT(C6:D11)=12,MIN(C6:C11)&gt;=0,MIN(D6:D11)&gt;0,COUNT(C15:D18)=8,MIN(C15:D18)&gt;=0),SUM(E26:E27),"입력 확인")</x:f>
        <x:v>123015912</x:v>
      </x:c>
      <x:c r="F28" s="26"/>
      <x:c r="G28" s="26"/>
    </x:row>
    <x:row r="29" ht="25" customHeight="1">
      <x:c r="A29" s="3"/>
      <x:c r="B29" s="3"/>
      <x:c r="C29" s="3"/>
      <x:c r="D29" s="20"/>
      <x:c r="E29" s="20"/>
      <x:c r="F29" s="3"/>
      <x:c r="G29" s="3"/>
    </x:row>
    <x:row r="30" ht="25" customHeight="1">
      <x:c r="A30" s="3"/>
      <x:c r="B30" s="3"/>
      <x:c r="C30" s="3"/>
      <x:c r="D30" s="20"/>
      <x:c r="E30" s="20"/>
      <x:c r="F30" s="3"/>
      <x:c r="G30" s="3"/>
    </x:row>
    <x:row r="31" ht="42" customHeight="1">
      <x:c r="A31" s="3" t="str">
        <x:v>운영 오류 대응은 비하자 운영 요청에 한정합니다. 구축 하자를 유상 운영으로 다시 청구하지 않도록 계약 항목을 분리합니다.</x:v>
      </x:c>
      <x:c r="B31" s="3"/>
      <x:c r="C31" s="3"/>
      <x:c r="D31" s="20"/>
      <x:c r="E31" s="20"/>
      <x:c r="F31" s="3"/>
      <x:c r="G31" s="3"/>
    </x:row>
    <x:row r="32" ht="25" customHeight="1">
      <x:c r="A32" s="3"/>
      <x:c r="B32" s="3"/>
      <x:c r="C32" s="3"/>
      <x:c r="D32" s="20"/>
      <x:c r="E32" s="20"/>
      <x:c r="F32" s="3"/>
      <x:c r="G32" s="3"/>
    </x:row>
    <x:row r="33" ht="25" customHeight="1">
      <x:c r="A33" s="3"/>
      <x:c r="B33" s="3"/>
      <x:c r="C33" s="3"/>
      <x:c r="D33" s="3"/>
      <x:c r="E33" s="3"/>
      <x:c r="F33" s="3"/>
      <x:c r="G33" s="3"/>
    </x:row>
    <x:row r="34" ht="25" customHeight="1">
      <x:c r="A34" s="3"/>
      <x:c r="B34" s="3"/>
      <x:c r="C34" s="3"/>
      <x:c r="D34" s="3"/>
      <x:c r="E34" s="3"/>
      <x:c r="F34" s="3"/>
      <x:c r="G34" s="3"/>
    </x:row>
    <x:row r="35" ht="25" customHeight="1">
      <x:c r="A35" s="3"/>
      <x:c r="B35" s="3"/>
      <x:c r="C35" s="3"/>
      <x:c r="D35" s="3"/>
      <x:c r="E35" s="3"/>
      <x:c r="F35" s="3"/>
      <x:c r="G35" s="3"/>
    </x:row>
    <x:row r="36" ht="25" customHeight="1">
      <x:c r="A36" s="3"/>
      <x:c r="B36" s="3"/>
      <x:c r="C36" s="3"/>
      <x:c r="D36" s="3"/>
      <x:c r="E36" s="3"/>
      <x:c r="F36" s="3"/>
      <x:c r="G36" s="3"/>
    </x:row>
    <x:row r="37" ht="25" customHeight="1">
      <x:c r="A37" s="3"/>
      <x:c r="B37" s="3"/>
      <x:c r="C37" s="3"/>
      <x:c r="D37" s="3"/>
      <x:c r="E37" s="3"/>
      <x:c r="F37" s="3"/>
      <x:c r="G37" s="3"/>
    </x:row>
    <x:row r="38" ht="25" customHeight="1">
      <x:c r="A38" s="3"/>
      <x:c r="B38" s="3"/>
      <x:c r="C38" s="3"/>
      <x:c r="D38" s="3"/>
      <x:c r="E38" s="3"/>
      <x:c r="F38" s="3"/>
      <x:c r="G38" s="3"/>
    </x:row>
    <x:row r="39" ht="25" customHeight="1">
      <x:c r="A39" s="3"/>
      <x:c r="B39" s="3"/>
      <x:c r="C39" s="3"/>
      <x:c r="D39" s="3"/>
      <x:c r="E39" s="3"/>
      <x:c r="F39" s="3"/>
      <x:c r="G39" s="3"/>
    </x:row>
    <x:row r="40" ht="25" customHeight="1">
      <x:c r="A40" s="3"/>
      <x:c r="B40" s="3"/>
      <x:c r="C40" s="3"/>
      <x:c r="D40" s="3"/>
      <x:c r="E40" s="3"/>
      <x:c r="F40" s="3"/>
      <x:c r="G40" s="3"/>
    </x:row>
    <x:row r="41" ht="25" customHeight="1">
      <x:c r="A41" s="3"/>
      <x:c r="B41" s="3"/>
      <x:c r="C41" s="3"/>
      <x:c r="D41" s="3"/>
      <x:c r="E41" s="3"/>
      <x:c r="F41" s="3"/>
      <x:c r="G41" s="3"/>
    </x:row>
    <x:row r="42" ht="25" customHeight="1">
      <x:c r="A42" s="3"/>
      <x:c r="B42" s="3"/>
      <x:c r="C42" s="3"/>
      <x:c r="D42" s="3"/>
      <x:c r="E42" s="3"/>
      <x:c r="F42" s="3"/>
      <x:c r="G42" s="3"/>
    </x:row>
    <x:row r="43" ht="25" customHeight="1">
      <x:c r="A43" s="3"/>
      <x:c r="B43" s="3"/>
      <x:c r="C43" s="3"/>
      <x:c r="D43" s="3"/>
      <x:c r="E43" s="3"/>
      <x:c r="F43" s="3"/>
      <x:c r="G43" s="3"/>
    </x:row>
    <x:row r="44" ht="25" customHeight="1">
      <x:c r="A44" s="3"/>
      <x:c r="B44" s="3"/>
      <x:c r="C44" s="3"/>
      <x:c r="D44" s="3"/>
      <x:c r="E44" s="3"/>
      <x:c r="F44" s="3"/>
      <x:c r="G44" s="3"/>
    </x:row>
    <x:row r="45" ht="25" customHeight="1">
      <x:c r="A45" s="3"/>
      <x:c r="B45" s="3"/>
      <x:c r="C45" s="3"/>
      <x:c r="D45" s="3"/>
      <x:c r="E45" s="3"/>
      <x:c r="F45" s="3"/>
      <x:c r="G45" s="3"/>
    </x:row>
    <x:row r="46" ht="25" customHeight="1">
      <x:c r="A46" s="3"/>
      <x:c r="B46" s="3"/>
      <x:c r="C46" s="3"/>
      <x:c r="D46" s="3"/>
      <x:c r="E46" s="3"/>
      <x:c r="F46" s="3"/>
      <x:c r="G46" s="3"/>
    </x:row>
    <x:row r="47" ht="25" customHeight="1">
      <x:c r="A47" s="3"/>
      <x:c r="B47" s="3"/>
      <x:c r="C47" s="3"/>
      <x:c r="D47" s="3"/>
      <x:c r="E47" s="3"/>
      <x:c r="F47" s="3"/>
      <x:c r="G47" s="3"/>
    </x:row>
    <x:row r="48" ht="25" customHeight="1">
      <x:c r="A48" s="3"/>
      <x:c r="B48" s="3"/>
      <x:c r="C48" s="3"/>
      <x:c r="D48" s="3"/>
      <x:c r="E48" s="3"/>
      <x:c r="F48" s="3"/>
      <x:c r="G48" s="3"/>
    </x:row>
    <x:row r="49" ht="25" customHeight="1">
      <x:c r="A49" s="3"/>
      <x:c r="B49" s="3"/>
      <x:c r="C49" s="3"/>
      <x:c r="D49" s="3"/>
      <x:c r="E49" s="3"/>
      <x:c r="F49" s="3"/>
      <x:c r="G49" s="3"/>
    </x:row>
    <x:row r="50" ht="25" customHeight="1">
      <x:c r="A50" s="3"/>
      <x:c r="B50" s="3"/>
      <x:c r="C50" s="3"/>
      <x:c r="D50" s="3"/>
      <x:c r="E50" s="3"/>
      <x:c r="F50" s="3"/>
      <x:c r="G50" s="3"/>
    </x:row>
  </x:sheetData>
  <x:mergeCells>
    <x:mergeCell ref="A3:G3"/>
    <x:mergeCell ref="A31:G31"/>
  </x:mergeCells>
  <x:pageMargins left="0.7" right="0.7" top="0.75" bottom="0.75" header="0.3" footer="0.3"/>
</x:worksheet>
</file>